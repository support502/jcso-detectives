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3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0"/>
    </font>
    <font>
      <name val="Calibri"/>
      <family val="2"/>
      <b val="1"/>
      <color rgb="FF000000"/>
      <sz val="16"/>
    </font>
    <font>
      <name val="Calibri"/>
      <family val="2"/>
      <color rgb="FF000000"/>
      <sz val="8"/>
    </font>
    <font>
      <name val="Calibri"/>
      <family val="2"/>
      <color rgb="FF000000"/>
      <sz val="14"/>
    </font>
    <font>
      <name val="Calibri"/>
      <family val="2"/>
      <color rgb="FF000000"/>
      <sz val="12"/>
    </font>
    <font>
      <name val="Calibri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color rgb="FF000000"/>
      <sz val="7.5"/>
    </font>
  </fonts>
  <fills count="3">
    <fill>
      <patternFill/>
    </fill>
    <fill>
      <patternFill patternType="gray125"/>
    </fill>
    <fill>
      <patternFill patternType="solid">
        <fgColor rgb="FFC0C0C0"/>
        <bgColor rgb="FFCCCCFF"/>
      </patternFill>
    </fill>
  </fills>
  <borders count="36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/>
      <top style="medium"/>
      <bottom/>
      <diagonal/>
    </border>
    <border>
      <left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 style="thin"/>
      <right/>
      <top style="thin"/>
      <bottom style="medium"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/>
      <right/>
      <top style="medium"/>
      <bottom style="medium"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/>
      <top style="thin"/>
      <bottom style="medium"/>
      <diagonal/>
    </border>
    <border>
      <left/>
      <right style="thin"/>
      <top/>
      <bottom/>
      <diagonal/>
    </border>
    <border>
      <left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bottom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6" fillId="2" borderId="2" applyAlignment="1" pivotButton="0" quotePrefix="0" xfId="0">
      <alignment horizontal="left" vertical="bottom"/>
    </xf>
    <xf numFmtId="0" fontId="6" fillId="2" borderId="3" applyAlignment="1" pivotButton="0" quotePrefix="0" xfId="0">
      <alignment horizontal="center" vertical="bottom"/>
    </xf>
    <xf numFmtId="0" fontId="6" fillId="2" borderId="3" applyAlignment="1" pivotButton="0" quotePrefix="0" xfId="0">
      <alignment horizontal="center" vertical="bottom" wrapText="1"/>
    </xf>
    <xf numFmtId="0" fontId="6" fillId="2" borderId="4" applyAlignment="1" pivotButton="0" quotePrefix="0" xfId="0">
      <alignment horizontal="center" vertical="bottom" wrapText="1"/>
    </xf>
    <xf numFmtId="0" fontId="9" fillId="2" borderId="5" applyAlignment="1" pivotButton="0" quotePrefix="0" xfId="0">
      <alignment horizontal="center" vertical="bottom" wrapText="1"/>
    </xf>
    <xf numFmtId="0" fontId="6" fillId="0" borderId="0" applyAlignment="1" pivotButton="0" quotePrefix="0" xfId="0">
      <alignment horizontal="general" vertical="bottom"/>
    </xf>
    <xf numFmtId="0" fontId="4" fillId="2" borderId="6" applyAlignment="1" pivotButton="0" quotePrefix="0" xfId="0">
      <alignment horizontal="left" vertical="bottom"/>
    </xf>
    <xf numFmtId="164" fontId="4" fillId="0" borderId="7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bottom"/>
    </xf>
    <xf numFmtId="0" fontId="4" fillId="0" borderId="8" applyAlignment="1" pivotButton="0" quotePrefix="0" xfId="0">
      <alignment horizontal="center" vertical="bottom"/>
    </xf>
    <xf numFmtId="0" fontId="4" fillId="2" borderId="9" applyAlignment="1" pivotButton="0" quotePrefix="0" xfId="0">
      <alignment horizontal="left" vertical="bottom" wrapText="1"/>
    </xf>
    <xf numFmtId="0" fontId="10" fillId="0" borderId="10" applyAlignment="1" pivotButton="0" quotePrefix="0" xfId="0">
      <alignment horizontal="general" vertical="bottom" wrapText="1"/>
    </xf>
    <xf numFmtId="0" fontId="4" fillId="0" borderId="1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 wrapText="1"/>
    </xf>
    <xf numFmtId="0" fontId="4" fillId="0" borderId="12" applyAlignment="1" pivotButton="0" quotePrefix="0" xfId="0">
      <alignment horizontal="left" vertical="bottom" wrapText="1"/>
    </xf>
    <xf numFmtId="0" fontId="4" fillId="2" borderId="13" applyAlignment="1" pivotButton="0" quotePrefix="0" xfId="0">
      <alignment horizontal="left" vertical="bottom"/>
    </xf>
    <xf numFmtId="164" fontId="4" fillId="0" borderId="14" applyAlignment="1" pivotButton="0" quotePrefix="0" xfId="0">
      <alignment horizontal="center" vertical="bottom"/>
    </xf>
    <xf numFmtId="0" fontId="4" fillId="0" borderId="14" applyAlignment="1" pivotButton="0" quotePrefix="0" xfId="0">
      <alignment horizontal="left" vertical="bottom"/>
    </xf>
    <xf numFmtId="0" fontId="4" fillId="0" borderId="15" applyAlignment="1" pivotButton="0" quotePrefix="0" xfId="0">
      <alignment horizontal="left" vertical="bottom"/>
    </xf>
    <xf numFmtId="0" fontId="4" fillId="0" borderId="16" applyAlignment="1" pivotButton="0" quotePrefix="0" xfId="0">
      <alignment horizontal="left" vertical="bottom"/>
    </xf>
    <xf numFmtId="0" fontId="4" fillId="2" borderId="9" applyAlignment="1" pivotButton="0" quotePrefix="0" xfId="0">
      <alignment horizontal="left" vertical="bottom"/>
    </xf>
    <xf numFmtId="0" fontId="11" fillId="0" borderId="10" applyAlignment="1" pivotButton="0" quotePrefix="0" xfId="0">
      <alignment horizontal="left" vertical="bottom"/>
    </xf>
    <xf numFmtId="0" fontId="4" fillId="0" borderId="12" applyAlignment="1" pivotButton="0" quotePrefix="0" xfId="0">
      <alignment horizontal="left" vertical="bottom"/>
    </xf>
    <xf numFmtId="0" fontId="11" fillId="0" borderId="0" applyAlignment="1" pivotButton="0" quotePrefix="0" xfId="0">
      <alignment horizontal="left" vertical="bottom"/>
    </xf>
    <xf numFmtId="0" fontId="4" fillId="0" borderId="17" applyAlignment="1" pivotButton="0" quotePrefix="0" xfId="0">
      <alignment horizontal="left" vertical="bottom"/>
    </xf>
    <xf numFmtId="0" fontId="4" fillId="0" borderId="18" applyAlignment="1" pivotButton="0" quotePrefix="0" xfId="0">
      <alignment horizontal="general" vertical="top" wrapText="1"/>
    </xf>
    <xf numFmtId="0" fontId="4" fillId="0" borderId="12" applyAlignment="1" pivotButton="0" quotePrefix="0" xfId="0">
      <alignment horizontal="center" vertical="bottom"/>
    </xf>
    <xf numFmtId="0" fontId="10" fillId="0" borderId="10" applyAlignment="1" pivotButton="0" quotePrefix="0" xfId="0">
      <alignment horizontal="left" vertical="bottom"/>
    </xf>
    <xf numFmtId="0" fontId="5" fillId="0" borderId="12" applyAlignment="1" pivotButton="0" quotePrefix="0" xfId="0">
      <alignment horizontal="center" vertical="bottom"/>
    </xf>
    <xf numFmtId="0" fontId="4" fillId="2" borderId="19" applyAlignment="1" pivotButton="0" quotePrefix="0" xfId="0">
      <alignment horizontal="center" vertical="bottom"/>
    </xf>
    <xf numFmtId="0" fontId="12" fillId="2" borderId="20" applyAlignment="1" pivotButton="0" quotePrefix="0" xfId="0">
      <alignment horizontal="center" vertical="bottom"/>
    </xf>
    <xf numFmtId="0" fontId="12" fillId="2" borderId="20" applyAlignment="1" pivotButton="0" quotePrefix="0" xfId="0">
      <alignment horizontal="center" vertical="bottom" wrapText="1"/>
    </xf>
    <xf numFmtId="0" fontId="12" fillId="2" borderId="21" applyAlignment="1" pivotButton="0" quotePrefix="0" xfId="0">
      <alignment horizontal="center" vertical="bottom" wrapText="1"/>
    </xf>
    <xf numFmtId="0" fontId="12" fillId="2" borderId="14" applyAlignment="1" pivotButton="0" quotePrefix="0" xfId="0">
      <alignment horizontal="center" vertical="bottom" wrapText="1"/>
    </xf>
    <xf numFmtId="0" fontId="12" fillId="2" borderId="22" applyAlignment="1" pivotButton="0" quotePrefix="0" xfId="0">
      <alignment horizontal="center" vertical="bottom" wrapText="1"/>
    </xf>
    <xf numFmtId="0" fontId="9" fillId="2" borderId="23" applyAlignment="1" pivotButton="0" quotePrefix="0" xfId="0">
      <alignment horizontal="center" vertical="bottom" wrapText="1"/>
    </xf>
    <xf numFmtId="0" fontId="4" fillId="2" borderId="24" applyAlignment="1" pivotButton="0" quotePrefix="0" xfId="0">
      <alignment horizontal="center" vertical="bottom"/>
    </xf>
    <xf numFmtId="0" fontId="4" fillId="0" borderId="10" applyAlignment="1" pivotButton="0" quotePrefix="0" xfId="0">
      <alignment horizontal="left" vertical="bottom"/>
    </xf>
    <xf numFmtId="0" fontId="4" fillId="0" borderId="25" applyAlignment="1" pivotButton="0" quotePrefix="0" xfId="0">
      <alignment horizontal="left" vertical="bottom"/>
    </xf>
    <xf numFmtId="0" fontId="4" fillId="0" borderId="26" applyAlignment="1" pivotButton="0" quotePrefix="0" xfId="0">
      <alignment horizontal="left" vertical="bottom"/>
    </xf>
    <xf numFmtId="0" fontId="4" fillId="0" borderId="18" applyAlignment="1" pivotButton="0" quotePrefix="0" xfId="0">
      <alignment horizontal="left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bottom"/>
    </xf>
    <xf numFmtId="0" fontId="0" fillId="0" borderId="29" pivotButton="0" quotePrefix="0" xfId="0"/>
    <xf numFmtId="0" fontId="0" fillId="0" borderId="30" pivotButton="0" quotePrefix="0" xfId="0"/>
    <xf numFmtId="0" fontId="6" fillId="0" borderId="0" applyAlignment="1" pivotButton="0" quotePrefix="0" xfId="0">
      <alignment horizontal="left" vertical="bottom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2" borderId="2" applyAlignment="1" pivotButton="0" quotePrefix="0" xfId="0">
      <alignment horizontal="left" vertical="bottom"/>
    </xf>
    <xf numFmtId="0" fontId="6" fillId="2" borderId="3" applyAlignment="1" pivotButton="0" quotePrefix="0" xfId="0">
      <alignment horizontal="center" vertical="bottom"/>
    </xf>
    <xf numFmtId="0" fontId="6" fillId="2" borderId="3" applyAlignment="1" pivotButton="0" quotePrefix="0" xfId="0">
      <alignment horizontal="center" vertical="bottom" wrapText="1"/>
    </xf>
    <xf numFmtId="0" fontId="6" fillId="2" borderId="4" applyAlignment="1" pivotButton="0" quotePrefix="0" xfId="0">
      <alignment horizontal="center" vertical="bottom" wrapText="1"/>
    </xf>
    <xf numFmtId="0" fontId="9" fillId="2" borderId="5" applyAlignment="1" pivotButton="0" quotePrefix="0" xfId="0">
      <alignment horizontal="center" vertical="bottom" wrapText="1"/>
    </xf>
    <xf numFmtId="0" fontId="4" fillId="2" borderId="6" applyAlignment="1" pivotButton="0" quotePrefix="0" xfId="0">
      <alignment horizontal="left" vertical="bottom"/>
    </xf>
    <xf numFmtId="164" fontId="4" fillId="0" borderId="7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bottom"/>
    </xf>
    <xf numFmtId="0" fontId="4" fillId="0" borderId="8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 wrapText="1"/>
    </xf>
    <xf numFmtId="0" fontId="4" fillId="2" borderId="9" applyAlignment="1" pivotButton="0" quotePrefix="0" xfId="0">
      <alignment horizontal="left" vertical="bottom" wrapText="1"/>
    </xf>
    <xf numFmtId="0" fontId="10" fillId="0" borderId="10" applyAlignment="1" pivotButton="0" quotePrefix="0" xfId="0">
      <alignment horizontal="general" vertical="bottom" wrapText="1"/>
    </xf>
    <xf numFmtId="0" fontId="4" fillId="0" borderId="11" applyAlignment="1" pivotButton="0" quotePrefix="0" xfId="0">
      <alignment horizontal="general" vertical="top" wrapText="1"/>
    </xf>
    <xf numFmtId="0" fontId="0" fillId="0" borderId="33" pivotButton="0" quotePrefix="0" xfId="0"/>
    <xf numFmtId="0" fontId="0" fillId="0" borderId="18" pivotButton="0" quotePrefix="0" xfId="0"/>
    <xf numFmtId="0" fontId="4" fillId="0" borderId="12" applyAlignment="1" pivotButton="0" quotePrefix="0" xfId="0">
      <alignment horizontal="left" vertical="bottom" wrapText="1"/>
    </xf>
    <xf numFmtId="0" fontId="4" fillId="2" borderId="13" applyAlignment="1" pivotButton="0" quotePrefix="0" xfId="0">
      <alignment horizontal="left" vertical="bottom"/>
    </xf>
    <xf numFmtId="164" fontId="4" fillId="0" borderId="14" applyAlignment="1" pivotButton="0" quotePrefix="0" xfId="0">
      <alignment horizontal="center" vertical="bottom"/>
    </xf>
    <xf numFmtId="0" fontId="4" fillId="0" borderId="14" applyAlignment="1" pivotButton="0" quotePrefix="0" xfId="0">
      <alignment horizontal="left" vertical="bottom"/>
    </xf>
    <xf numFmtId="0" fontId="4" fillId="0" borderId="15" applyAlignment="1" pivotButton="0" quotePrefix="0" xfId="0">
      <alignment horizontal="left" vertical="bottom"/>
    </xf>
    <xf numFmtId="0" fontId="4" fillId="0" borderId="16" applyAlignment="1" pivotButton="0" quotePrefix="0" xfId="0">
      <alignment horizontal="left" vertical="bottom"/>
    </xf>
    <xf numFmtId="0" fontId="4" fillId="2" borderId="9" applyAlignment="1" pivotButton="0" quotePrefix="0" xfId="0">
      <alignment horizontal="left" vertical="bottom"/>
    </xf>
    <xf numFmtId="0" fontId="11" fillId="0" borderId="10" applyAlignment="1" pivotButton="0" quotePrefix="0" xfId="0">
      <alignment horizontal="left" vertical="bottom"/>
    </xf>
    <xf numFmtId="0" fontId="4" fillId="0" borderId="12" applyAlignment="1" pivotButton="0" quotePrefix="0" xfId="0">
      <alignment horizontal="left" vertical="bottom"/>
    </xf>
    <xf numFmtId="0" fontId="11" fillId="0" borderId="0" applyAlignment="1" pivotButton="0" quotePrefix="0" xfId="0">
      <alignment horizontal="left" vertical="bottom"/>
    </xf>
    <xf numFmtId="0" fontId="4" fillId="0" borderId="17" applyAlignment="1" pivotButton="0" quotePrefix="0" xfId="0">
      <alignment horizontal="left" vertical="bottom"/>
    </xf>
    <xf numFmtId="0" fontId="4" fillId="0" borderId="18" applyAlignment="1" pivotButton="0" quotePrefix="0" xfId="0">
      <alignment horizontal="general" vertical="top" wrapText="1"/>
    </xf>
    <xf numFmtId="0" fontId="4" fillId="0" borderId="12" applyAlignment="1" pivotButton="0" quotePrefix="0" xfId="0">
      <alignment horizontal="center" vertical="bottom"/>
    </xf>
    <xf numFmtId="0" fontId="10" fillId="0" borderId="10" applyAlignment="1" pivotButton="0" quotePrefix="0" xfId="0">
      <alignment horizontal="left" vertical="bottom"/>
    </xf>
    <xf numFmtId="0" fontId="5" fillId="0" borderId="12" applyAlignment="1" pivotButton="0" quotePrefix="0" xfId="0">
      <alignment horizontal="center" vertical="bottom"/>
    </xf>
    <xf numFmtId="0" fontId="4" fillId="2" borderId="19" applyAlignment="1" pivotButton="0" quotePrefix="0" xfId="0">
      <alignment horizontal="center" vertical="bottom"/>
    </xf>
    <xf numFmtId="0" fontId="0" fillId="0" borderId="22" pivotButton="0" quotePrefix="0" xfId="0"/>
    <xf numFmtId="0" fontId="12" fillId="2" borderId="20" applyAlignment="1" pivotButton="0" quotePrefix="0" xfId="0">
      <alignment horizontal="center" vertical="bottom"/>
    </xf>
    <xf numFmtId="0" fontId="12" fillId="2" borderId="20" applyAlignment="1" pivotButton="0" quotePrefix="0" xfId="0">
      <alignment horizontal="center" vertical="bottom" wrapText="1"/>
    </xf>
    <xf numFmtId="0" fontId="12" fillId="2" borderId="21" applyAlignment="1" pivotButton="0" quotePrefix="0" xfId="0">
      <alignment horizontal="center" vertical="bottom" wrapText="1"/>
    </xf>
    <xf numFmtId="0" fontId="12" fillId="2" borderId="14" applyAlignment="1" pivotButton="0" quotePrefix="0" xfId="0">
      <alignment horizontal="center" vertical="bottom" wrapText="1"/>
    </xf>
    <xf numFmtId="0" fontId="12" fillId="2" borderId="22" applyAlignment="1" pivotButton="0" quotePrefix="0" xfId="0">
      <alignment horizontal="center" vertical="bottom" wrapText="1"/>
    </xf>
    <xf numFmtId="0" fontId="9" fillId="2" borderId="23" applyAlignment="1" pivotButton="0" quotePrefix="0" xfId="0">
      <alignment horizontal="center" vertical="bottom" wrapText="1"/>
    </xf>
    <xf numFmtId="0" fontId="4" fillId="2" borderId="24" applyAlignment="1" pivotButton="0" quotePrefix="0" xfId="0">
      <alignment horizontal="center" vertical="bottom"/>
    </xf>
    <xf numFmtId="0" fontId="0" fillId="0" borderId="35" pivotButton="0" quotePrefix="0" xfId="0"/>
    <xf numFmtId="0" fontId="4" fillId="0" borderId="10" applyAlignment="1" pivotButton="0" quotePrefix="0" xfId="0">
      <alignment horizontal="left" vertical="bottom"/>
    </xf>
    <xf numFmtId="0" fontId="4" fillId="0" borderId="25" applyAlignment="1" pivotButton="0" quotePrefix="0" xfId="0">
      <alignment horizontal="left" vertical="bottom"/>
    </xf>
    <xf numFmtId="0" fontId="4" fillId="0" borderId="26" applyAlignment="1" pivotButton="0" quotePrefix="0" xfId="0">
      <alignment horizontal="left" vertical="bottom"/>
    </xf>
    <xf numFmtId="0" fontId="4" fillId="0" borderId="18" applyAlignment="1" pivotButton="0" quotePrefix="0" xfId="0">
      <alignment horizontal="left" vertical="bottom"/>
    </xf>
    <xf numFmtId="0" fontId="4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Y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24.95" zeroHeight="0" outlineLevelRow="0"/>
  <cols>
    <col width="7.56" customWidth="1" style="50" min="1" max="1"/>
    <col width="10.41" customWidth="1" style="50" min="2" max="2"/>
    <col width="5.56" customWidth="1" style="50" min="3" max="3"/>
    <col width="8.56" customWidth="1" style="50" min="4" max="4"/>
    <col width="5.41" customWidth="1" style="50" min="5" max="6"/>
    <col width="6.41" customWidth="1" style="50" min="7" max="7"/>
    <col width="7.14" customWidth="1" style="50" min="8" max="8"/>
    <col width="6.41" customWidth="1" style="50" min="9" max="9"/>
    <col width="6.41" customWidth="1" style="50" min="10" max="10"/>
    <col width="7.85" customWidth="1" style="50" min="11" max="11"/>
    <col width="7.14" customWidth="1" style="50" min="12" max="12"/>
    <col width="7.85" customWidth="1" style="50" min="13" max="13"/>
    <col width="9.140000000000001" customWidth="1" style="51" min="14" max="257"/>
  </cols>
  <sheetData>
    <row r="1" ht="24.95" customHeight="1" s="52">
      <c r="A1" s="53" t="inlineStr">
        <is>
          <t>NAME</t>
        </is>
      </c>
      <c r="B1" s="54" t="n"/>
      <c r="C1" s="53" t="inlineStr">
        <is>
          <t>Weekly Activity Report</t>
        </is>
      </c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4" t="n"/>
    </row>
    <row r="2" ht="20.25" customHeight="1" s="52">
      <c r="A2" s="56" t="inlineStr">
        <is>
          <t>Division:</t>
        </is>
      </c>
      <c r="B2" s="57" t="inlineStr">
        <is>
          <t>Narcotics - Interdiction</t>
        </is>
      </c>
      <c r="C2" s="55" t="n"/>
      <c r="D2" s="55" t="n"/>
      <c r="E2" s="54" t="n"/>
      <c r="F2" s="58" t="inlineStr">
        <is>
          <t>Supervisor: A  Jones/R. Hargrove</t>
        </is>
      </c>
      <c r="G2" s="55" t="n"/>
      <c r="H2" s="55" t="n"/>
      <c r="I2" s="55" t="n"/>
      <c r="J2" s="55" t="n"/>
      <c r="K2" s="55" t="n"/>
      <c r="L2" s="55" t="n"/>
      <c r="M2" s="54" t="n"/>
    </row>
    <row r="3" ht="32.25" customFormat="1" customHeight="1" s="59">
      <c r="A3" s="60" t="inlineStr">
        <is>
          <t>Day</t>
        </is>
      </c>
      <c r="B3" s="61" t="inlineStr">
        <is>
          <t>Date</t>
        </is>
      </c>
      <c r="C3" s="61" t="inlineStr">
        <is>
          <t>Hours</t>
        </is>
      </c>
      <c r="D3" s="62" t="inlineStr">
        <is>
          <t>Drug seizures</t>
        </is>
      </c>
      <c r="E3" s="62" t="inlineStr">
        <is>
          <t>Criminal Seizures</t>
        </is>
      </c>
      <c r="F3" s="62" t="inlineStr">
        <is>
          <t>Currency seizures</t>
        </is>
      </c>
      <c r="G3" s="62" t="inlineStr">
        <is>
          <t>Training hours</t>
        </is>
      </c>
      <c r="H3" s="62" t="inlineStr">
        <is>
          <t>Vehicle Searches</t>
        </is>
      </c>
      <c r="I3" s="62" t="inlineStr">
        <is>
          <t>Assist narcs-ops</t>
        </is>
      </c>
      <c r="J3" s="63" t="inlineStr">
        <is>
          <t>Traffic Stops</t>
        </is>
      </c>
      <c r="K3" s="62" t="inlineStr">
        <is>
          <t>Warrant Arrest</t>
        </is>
      </c>
      <c r="L3" s="62" t="inlineStr">
        <is>
          <t>P.C. Arrest</t>
        </is>
      </c>
      <c r="M3" s="64" t="inlineStr">
        <is>
          <t>Agency Assist</t>
        </is>
      </c>
    </row>
    <row r="4" ht="21.95" customHeight="1" s="52">
      <c r="A4" s="65" t="inlineStr">
        <is>
          <t>Sunday</t>
        </is>
      </c>
      <c r="B4" s="66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8" t="n"/>
    </row>
    <row r="5" ht="45.75" customFormat="1" customHeight="1" s="69">
      <c r="A5" s="70" t="inlineStr">
        <is>
          <t>Activity:</t>
        </is>
      </c>
      <c r="B5" s="71" t="inlineStr">
        <is>
          <t xml:space="preserve"> </t>
        </is>
      </c>
      <c r="C5" s="72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4" t="n"/>
    </row>
    <row r="6" ht="21.95" customFormat="1" customHeight="1" s="69">
      <c r="A6" s="75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</row>
    <row r="7" ht="21.95" customHeight="1" s="52">
      <c r="A7" s="76" t="inlineStr">
        <is>
          <t>Monday</t>
        </is>
      </c>
      <c r="B7" s="77">
        <f>B4+1</f>
        <v/>
      </c>
      <c r="C7" s="78" t="n"/>
      <c r="D7" s="78" t="n"/>
      <c r="E7" s="78" t="n"/>
      <c r="F7" s="78" t="n"/>
      <c r="G7" s="78" t="n"/>
      <c r="H7" s="78" t="n"/>
      <c r="I7" s="78" t="n"/>
      <c r="J7" s="79" t="n"/>
      <c r="K7" s="78" t="n"/>
      <c r="L7" s="78" t="n"/>
      <c r="M7" s="80" t="n"/>
    </row>
    <row r="8" ht="45.75" customHeight="1" s="52">
      <c r="A8" s="81" t="inlineStr">
        <is>
          <t>Activity:</t>
        </is>
      </c>
      <c r="B8" s="82" t="inlineStr">
        <is>
          <t xml:space="preserve"> </t>
        </is>
      </c>
      <c r="C8" s="72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4" t="n"/>
    </row>
    <row r="9" ht="21.95" customHeight="1" s="52">
      <c r="A9" s="83" t="n"/>
    </row>
    <row r="10" ht="21.95" customHeight="1" s="52">
      <c r="A10" s="76" t="inlineStr">
        <is>
          <t>Tuesday</t>
        </is>
      </c>
      <c r="B10" s="77">
        <f>B4+2</f>
        <v/>
      </c>
      <c r="C10" s="78" t="n"/>
      <c r="D10" s="78" t="n"/>
      <c r="E10" s="78" t="n"/>
      <c r="F10" s="78" t="n"/>
      <c r="G10" s="78" t="n"/>
      <c r="H10" s="78" t="n"/>
      <c r="I10" s="78" t="n"/>
      <c r="J10" s="79" t="n"/>
      <c r="K10" s="78" t="n"/>
      <c r="L10" s="78" t="n"/>
      <c r="M10" s="80" t="n"/>
    </row>
    <row r="11" ht="45.75" customHeight="1" s="52">
      <c r="A11" s="81" t="inlineStr">
        <is>
          <t>Activity:</t>
        </is>
      </c>
      <c r="B11" s="82" t="inlineStr">
        <is>
          <t xml:space="preserve"> </t>
        </is>
      </c>
      <c r="C11" s="72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4" t="n"/>
    </row>
    <row r="12" ht="21.95" customHeight="1" s="52">
      <c r="A12" s="84" t="n"/>
    </row>
    <row r="13" ht="21.95" customHeight="1" s="52">
      <c r="A13" s="76" t="inlineStr">
        <is>
          <t>Wed</t>
        </is>
      </c>
      <c r="B13" s="77">
        <f>B4+3</f>
        <v/>
      </c>
      <c r="C13" s="78" t="n"/>
      <c r="D13" s="78" t="n"/>
      <c r="E13" s="78" t="n"/>
      <c r="F13" s="78" t="n"/>
      <c r="G13" s="78" t="n"/>
      <c r="H13" s="85" t="n"/>
      <c r="I13" s="78" t="n"/>
      <c r="J13" s="79" t="n"/>
      <c r="K13" s="78" t="n"/>
      <c r="L13" s="78" t="n"/>
      <c r="M13" s="80" t="n"/>
    </row>
    <row r="14" ht="45.75" customHeight="1" s="52">
      <c r="A14" s="81" t="inlineStr">
        <is>
          <t>Activity:</t>
        </is>
      </c>
      <c r="B14" s="82" t="inlineStr">
        <is>
          <t xml:space="preserve"> </t>
        </is>
      </c>
      <c r="C14" s="86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4" t="n"/>
    </row>
    <row r="15" ht="21.95" customHeight="1" s="52">
      <c r="A15" s="50" t="n"/>
    </row>
    <row r="16" ht="21.95" customHeight="1" s="52">
      <c r="A16" s="76" t="inlineStr">
        <is>
          <t>Thurs</t>
        </is>
      </c>
      <c r="B16" s="77">
        <f>B4+4</f>
        <v/>
      </c>
      <c r="C16" s="78" t="n"/>
      <c r="D16" s="78" t="n"/>
      <c r="E16" s="78" t="n"/>
      <c r="F16" s="78" t="n"/>
      <c r="G16" s="78" t="n"/>
      <c r="H16" s="85" t="n"/>
      <c r="I16" s="78" t="n"/>
      <c r="J16" s="79" t="n"/>
      <c r="K16" s="78" t="n"/>
      <c r="L16" s="78" t="n"/>
      <c r="M16" s="80" t="n"/>
    </row>
    <row r="17" ht="45.75" customHeight="1" s="52">
      <c r="A17" s="81" t="inlineStr">
        <is>
          <t>Activity:</t>
        </is>
      </c>
      <c r="B17" s="82" t="inlineStr">
        <is>
          <t xml:space="preserve"> </t>
        </is>
      </c>
      <c r="C17" s="86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4" t="n"/>
    </row>
    <row r="18" ht="21.75" customHeight="1" s="52">
      <c r="A18" s="87" t="n"/>
    </row>
    <row r="19" ht="21.95" customHeight="1" s="52">
      <c r="A19" s="76" t="inlineStr">
        <is>
          <t>Friday</t>
        </is>
      </c>
      <c r="B19" s="77">
        <f>B4+5</f>
        <v/>
      </c>
      <c r="C19" s="78" t="n"/>
      <c r="D19" s="78" t="n"/>
      <c r="E19" s="78" t="n"/>
      <c r="F19" s="78" t="n"/>
      <c r="G19" s="78" t="n"/>
      <c r="H19" s="85" t="n"/>
      <c r="I19" s="78" t="n"/>
      <c r="J19" s="79" t="n"/>
      <c r="K19" s="78" t="n"/>
      <c r="L19" s="78" t="n"/>
      <c r="M19" s="80" t="n"/>
    </row>
    <row r="20" ht="45.75" customHeight="1" s="52">
      <c r="A20" s="81" t="inlineStr">
        <is>
          <t>Activity:</t>
        </is>
      </c>
      <c r="B20" s="82" t="inlineStr">
        <is>
          <t xml:space="preserve"> </t>
        </is>
      </c>
      <c r="C20" s="86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4" t="n"/>
    </row>
    <row r="21" ht="21.95" customHeight="1" s="52">
      <c r="A21" s="87" t="n"/>
    </row>
    <row r="22" ht="21.95" customHeight="1" s="52">
      <c r="A22" s="76" t="inlineStr">
        <is>
          <t>Sat</t>
        </is>
      </c>
      <c r="B22" s="77">
        <f>B4+6</f>
        <v/>
      </c>
      <c r="C22" s="78" t="n"/>
      <c r="D22" s="78" t="n"/>
      <c r="E22" s="78" t="n"/>
      <c r="F22" s="78" t="n"/>
      <c r="G22" s="78" t="n"/>
      <c r="H22" s="85" t="n"/>
      <c r="I22" s="78" t="n"/>
      <c r="J22" s="79" t="n"/>
      <c r="K22" s="78" t="n"/>
      <c r="L22" s="78" t="n"/>
      <c r="M22" s="80" t="n"/>
    </row>
    <row r="23" ht="45.75" customHeight="1" s="52">
      <c r="A23" s="81" t="inlineStr">
        <is>
          <t>Activity:</t>
        </is>
      </c>
      <c r="B23" s="88" t="inlineStr">
        <is>
          <t xml:space="preserve"> </t>
        </is>
      </c>
      <c r="C23" s="86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4" t="n"/>
    </row>
    <row r="24" ht="26.25" customHeight="1" s="52">
      <c r="A24" s="89" t="n"/>
    </row>
    <row r="25" ht="24.95" customHeight="1" s="52">
      <c r="A25" s="90" t="inlineStr">
        <is>
          <t>Weekly</t>
        </is>
      </c>
      <c r="B25" s="91" t="n"/>
      <c r="C25" s="92" t="inlineStr">
        <is>
          <t>Hours</t>
        </is>
      </c>
      <c r="D25" s="93" t="inlineStr">
        <is>
          <t>Drug seizures</t>
        </is>
      </c>
      <c r="E25" s="93" t="inlineStr">
        <is>
          <t>Criminal Seizures</t>
        </is>
      </c>
      <c r="F25" s="93" t="inlineStr">
        <is>
          <t>Currency seizures</t>
        </is>
      </c>
      <c r="G25" s="93" t="inlineStr">
        <is>
          <t>Training hours</t>
        </is>
      </c>
      <c r="H25" s="94" t="inlineStr">
        <is>
          <t>Vehicle Searches</t>
        </is>
      </c>
      <c r="I25" s="95" t="inlineStr">
        <is>
          <t>Assist narcs-ops</t>
        </is>
      </c>
      <c r="J25" s="96" t="inlineStr">
        <is>
          <t>Traffic Stops</t>
        </is>
      </c>
      <c r="K25" s="93" t="inlineStr">
        <is>
          <t>Warrant Arrest</t>
        </is>
      </c>
      <c r="L25" s="93" t="inlineStr">
        <is>
          <t>P.C. Arrest</t>
        </is>
      </c>
      <c r="M25" s="97" t="inlineStr">
        <is>
          <t>Agency Assist</t>
        </is>
      </c>
    </row>
    <row r="26" ht="24.95" customHeight="1" s="52">
      <c r="A26" s="98" t="inlineStr">
        <is>
          <t>Totals:</t>
        </is>
      </c>
      <c r="B26" s="99" t="n"/>
      <c r="C26" s="100">
        <f>SUM(C7,C10,C13,C16,C19)</f>
        <v/>
      </c>
      <c r="D26" s="100">
        <f>SUM(D7,D10,D13,D16,D19)</f>
        <v/>
      </c>
      <c r="E26" s="100">
        <f>SUM(E4,E7,E10,E13,E16,E19,E22)</f>
        <v/>
      </c>
      <c r="F26" s="100">
        <f>SUM(F4,F7,F10,F13,F16,F19,F22)</f>
        <v/>
      </c>
      <c r="G26" s="100">
        <f>SUM(G4,G7,G10,G13,G16,G19,G22)</f>
        <v/>
      </c>
      <c r="H26" s="101">
        <f>SUM(H4,H7,H10,H13,H16,H19,H22)</f>
        <v/>
      </c>
      <c r="I26" s="100">
        <f>SUM(I4,I7,I10,I13,I16,I19,I22)</f>
        <v/>
      </c>
      <c r="J26" s="102">
        <f>SUM(J4,J7,J10,J13,J16,J19,J22)</f>
        <v/>
      </c>
      <c r="K26" s="100">
        <f>SUM(K4,K7,K10,K13,K16,K19,K22)</f>
        <v/>
      </c>
      <c r="L26" s="100">
        <f>SUM(L4,L7,L10,L13,L16,L19,L22)</f>
        <v/>
      </c>
      <c r="M26" s="103">
        <f>SUM(M4,M7,M10,M13,M16,M19,M22)</f>
        <v/>
      </c>
    </row>
    <row r="27" ht="24.95" customHeight="1" s="52">
      <c r="A27" s="104" t="n"/>
    </row>
  </sheetData>
  <mergeCells count="20">
    <mergeCell ref="C5:M5"/>
    <mergeCell ref="A1:B1"/>
    <mergeCell ref="C14:M14"/>
    <mergeCell ref="C20:M20"/>
    <mergeCell ref="A25:B25"/>
    <mergeCell ref="C1:M1"/>
    <mergeCell ref="A9:M9"/>
    <mergeCell ref="A15:M15"/>
    <mergeCell ref="A24:M24"/>
    <mergeCell ref="A26:B26"/>
    <mergeCell ref="F2:M2"/>
    <mergeCell ref="A6:M6"/>
    <mergeCell ref="C11:M11"/>
    <mergeCell ref="B2:E2"/>
    <mergeCell ref="C17:M17"/>
    <mergeCell ref="C23:M23"/>
    <mergeCell ref="C8:M8"/>
    <mergeCell ref="A12:M12"/>
    <mergeCell ref="A18:M18"/>
    <mergeCell ref="A21:M21"/>
  </mergeCells>
  <printOptions horizontalCentered="0" verticalCentered="0" headings="0" gridLines="1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Reese</dc:creator>
  <dc:language xmlns:dc="http://purl.org/dc/elements/1.1/">en-US</dc:language>
  <dcterms:created xmlns:dcterms="http://purl.org/dc/terms/" xmlns:xsi="http://www.w3.org/2001/XMLSchema-instance" xsi:type="dcterms:W3CDTF">2014-08-23T14:24:34Z</dcterms:created>
  <dcterms:modified xmlns:dcterms="http://purl.org/dc/terms/" xmlns:xsi="http://www.w3.org/2001/XMLSchema-instance" xsi:type="dcterms:W3CDTF">2026-04-07T22:21:15Z</dcterms:modified>
  <cp:lastModifiedBy>Brian Chowns</cp:lastModifiedBy>
  <cp:revision>0</cp:revision>
  <cp:lastPrinted>2024-08-12T15:06:31Z</cp:lastPrinted>
</cp:coreProperties>
</file>