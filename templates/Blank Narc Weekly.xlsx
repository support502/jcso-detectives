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how\Downloads\jcso-detectives\templates\"/>
    </mc:Choice>
  </mc:AlternateContent>
  <xr:revisionPtr revIDLastSave="0" documentId="8_{2A5FAFDC-C4DE-422E-AD82-FB670C5DAD9F}" xr6:coauthVersionLast="47" xr6:coauthVersionMax="47" xr10:uidLastSave="{00000000-0000-0000-0000-000000000000}"/>
  <bookViews>
    <workbookView xWindow="25935" yWindow="2625" windowWidth="19830" windowHeight="15345" xr2:uid="{6FEBA466-A1AE-43A6-B2D3-0A963B774A9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9" i="1"/>
  <c r="B16" i="1"/>
  <c r="B13" i="1"/>
  <c r="B10" i="1"/>
  <c r="B7" i="1"/>
  <c r="C26" i="1"/>
  <c r="D26" i="1"/>
  <c r="E26" i="1"/>
  <c r="F26" i="1"/>
  <c r="G26" i="1"/>
  <c r="H26" i="1"/>
  <c r="I26" i="1"/>
  <c r="J26" i="1"/>
  <c r="K26" i="1"/>
  <c r="L26" i="1"/>
  <c r="M26" i="1"/>
</calcChain>
</file>

<file path=xl/sharedStrings.xml><?xml version="1.0" encoding="utf-8"?>
<sst xmlns="http://schemas.openxmlformats.org/spreadsheetml/2006/main" count="52" uniqueCount="30">
  <si>
    <t>Day</t>
  </si>
  <si>
    <t>Date</t>
  </si>
  <si>
    <t>Sunday</t>
  </si>
  <si>
    <t>Monday</t>
  </si>
  <si>
    <t>Tuesday</t>
  </si>
  <si>
    <t>Friday</t>
  </si>
  <si>
    <t>Activity:</t>
  </si>
  <si>
    <t>Wed</t>
  </si>
  <si>
    <t>Thurs</t>
  </si>
  <si>
    <t>Sat</t>
  </si>
  <si>
    <t>Patrol cases</t>
  </si>
  <si>
    <t>Division:</t>
  </si>
  <si>
    <t>Hours</t>
  </si>
  <si>
    <t>Training hours</t>
  </si>
  <si>
    <t>Warrant Arrest</t>
  </si>
  <si>
    <t>Totals:</t>
  </si>
  <si>
    <t>Weekly</t>
  </si>
  <si>
    <t>Weekly Activity Report</t>
  </si>
  <si>
    <t>UC/CI cases</t>
  </si>
  <si>
    <t>TNO cases</t>
  </si>
  <si>
    <t>Surv hours</t>
  </si>
  <si>
    <t>Attempted operations</t>
  </si>
  <si>
    <t>SW cases</t>
  </si>
  <si>
    <t>PC Arrest</t>
  </si>
  <si>
    <t>PC arrest</t>
  </si>
  <si>
    <t>Narcotics - UC</t>
  </si>
  <si>
    <t>Detective/Agency Assist</t>
  </si>
  <si>
    <t xml:space="preserve"> </t>
  </si>
  <si>
    <t>NAME</t>
  </si>
  <si>
    <t>Supervisor: A  Jones/R. Hargrove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</si>
</sst>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color indexed="8"/>
      <name val="Calibri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7.5"/>
      <color indexed="8"/>
      <name val="Calibri"/>
      <family val="2"/>
    </font>
    <font>
      <sz val="7"/>
      <color indexed="8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0" xfId="0" applyFont="1" applyFill="1"/>
    <xf numFmtId="0" fontId="2" fillId="0" borderId="0" xfId="0" applyFont="1" applyFill="1"/>
    <xf numFmtId="14" fontId="1" fillId="0" borderId="7" xfId="0" applyNumberFormat="1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14" fontId="1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0" borderId="15" xfId="0" applyFont="1" applyFill="1" applyBorder="1" applyAlignment="1">
      <alignment horizontal="left"/>
    </xf>
    <xf numFmtId="0" fontId="1" fillId="0" borderId="16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6" fillId="2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 wrapText="1"/>
    </xf>
    <xf numFmtId="0" fontId="5" fillId="2" borderId="19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center" wrapText="1"/>
    </xf>
    <xf numFmtId="0" fontId="6" fillId="2" borderId="21" xfId="0" applyFont="1" applyFill="1" applyBorder="1" applyAlignment="1">
      <alignment horizontal="center" wrapText="1"/>
    </xf>
    <xf numFmtId="0" fontId="1" fillId="0" borderId="28" xfId="0" applyFont="1" applyFill="1" applyBorder="1" applyAlignment="1">
      <alignment vertical="top" wrapText="1"/>
    </xf>
    <xf numFmtId="0" fontId="1" fillId="0" borderId="16" xfId="0" applyFont="1" applyFill="1" applyBorder="1" applyAlignment="1">
      <alignment vertical="top" wrapText="1"/>
    </xf>
    <xf numFmtId="0" fontId="1" fillId="0" borderId="3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" fillId="0" borderId="3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31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9" fillId="0" borderId="22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14" xfId="0" applyFont="1" applyFill="1" applyBorder="1" applyAlignment="1">
      <alignment vertical="top" wrapText="1"/>
    </xf>
    <xf numFmtId="0" fontId="1" fillId="0" borderId="29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1" fillId="0" borderId="3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E315-8B58-459A-BA64-623CCCAD4C7A}">
  <sheetPr>
    <pageSetUpPr fitToPage="1"/>
  </sheetPr>
  <dimension ref="A1:Y27"/>
  <sheetViews>
    <sheetView tabSelected="1" zoomScale="85" zoomScaleNormal="85" workbookViewId="0">
      <selection activeCell="N6" sqref="N6"/>
    </sheetView>
  </sheetViews>
  <sheetFormatPr defaultRowHeight="24.95" customHeight="1" x14ac:dyDescent="0.2"/>
  <cols>
    <col min="1" max="1" width="7.5703125" style="30" customWidth="1"/>
    <col min="2" max="2" width="10.42578125" style="30" bestFit="1" customWidth="1"/>
    <col min="3" max="3" width="5.5703125" style="30" customWidth="1"/>
    <col min="4" max="4" width="8.5703125" style="30" customWidth="1"/>
    <col min="5" max="6" width="5.42578125" style="30" customWidth="1"/>
    <col min="7" max="7" width="6.42578125" style="30" customWidth="1"/>
    <col min="8" max="8" width="7.140625" style="30" customWidth="1"/>
    <col min="9" max="9" width="6.42578125" style="22" customWidth="1"/>
    <col min="10" max="10" width="6.42578125" style="30" customWidth="1"/>
    <col min="11" max="11" width="7.85546875" style="30" customWidth="1"/>
    <col min="12" max="12" width="7.140625" style="30" customWidth="1"/>
    <col min="13" max="13" width="7.85546875" style="30" customWidth="1"/>
    <col min="14" max="16384" width="9.140625" style="10"/>
  </cols>
  <sheetData>
    <row r="1" spans="1:25" ht="24.95" customHeight="1" thickBot="1" x14ac:dyDescent="0.4">
      <c r="A1" s="54" t="s">
        <v>28</v>
      </c>
      <c r="B1" s="55"/>
      <c r="C1" s="54" t="s">
        <v>17</v>
      </c>
      <c r="D1" s="56"/>
      <c r="E1" s="56"/>
      <c r="F1" s="56"/>
      <c r="G1" s="56"/>
      <c r="H1" s="56"/>
      <c r="I1" s="56"/>
      <c r="J1" s="56"/>
      <c r="K1" s="56"/>
      <c r="L1" s="56"/>
      <c r="M1" s="55"/>
    </row>
    <row r="2" spans="1:25" ht="20.25" customHeight="1" thickBot="1" x14ac:dyDescent="0.35">
      <c r="A2" s="1" t="s">
        <v>11</v>
      </c>
      <c r="B2" s="43" t="s">
        <v>25</v>
      </c>
      <c r="C2" s="44"/>
      <c r="D2" s="44"/>
      <c r="E2" s="45"/>
      <c r="F2" s="51" t="s">
        <v>29</v>
      </c>
      <c r="G2" s="52"/>
      <c r="H2" s="52"/>
      <c r="I2" s="52"/>
      <c r="J2" s="52"/>
      <c r="K2" s="52"/>
      <c r="L2" s="52"/>
      <c r="M2" s="53"/>
    </row>
    <row r="3" spans="1:25" s="11" customFormat="1" ht="32.25" customHeight="1" thickBot="1" x14ac:dyDescent="0.25">
      <c r="A3" s="6" t="s">
        <v>0</v>
      </c>
      <c r="B3" s="7" t="s">
        <v>1</v>
      </c>
      <c r="C3" s="7" t="s">
        <v>12</v>
      </c>
      <c r="D3" s="8" t="s">
        <v>21</v>
      </c>
      <c r="E3" s="8" t="s">
        <v>18</v>
      </c>
      <c r="F3" s="8" t="s">
        <v>19</v>
      </c>
      <c r="G3" s="8" t="s">
        <v>22</v>
      </c>
      <c r="H3" s="8" t="s">
        <v>20</v>
      </c>
      <c r="I3" s="8" t="s">
        <v>10</v>
      </c>
      <c r="J3" s="9" t="s">
        <v>23</v>
      </c>
      <c r="K3" s="8" t="s">
        <v>14</v>
      </c>
      <c r="L3" s="8" t="s">
        <v>13</v>
      </c>
      <c r="M3" s="37" t="s">
        <v>26</v>
      </c>
    </row>
    <row r="4" spans="1:25" ht="21.95" customHeight="1" x14ac:dyDescent="0.2">
      <c r="A4" s="5" t="s">
        <v>2</v>
      </c>
      <c r="B4" s="12">
        <v>45751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25" s="16" customFormat="1" ht="45.75" customHeight="1" thickBot="1" x14ac:dyDescent="0.35">
      <c r="A5" s="3" t="s">
        <v>6</v>
      </c>
      <c r="B5" s="15" t="s">
        <v>27</v>
      </c>
      <c r="C5" s="61"/>
      <c r="D5" s="38"/>
      <c r="E5" s="38"/>
      <c r="F5" s="38"/>
      <c r="G5" s="38"/>
      <c r="H5" s="62"/>
      <c r="I5" s="38"/>
      <c r="J5" s="38"/>
      <c r="K5" s="38"/>
      <c r="L5" s="38"/>
      <c r="M5" s="39"/>
    </row>
    <row r="6" spans="1:25" s="16" customFormat="1" ht="21.95" customHeight="1" thickBot="1" x14ac:dyDescent="0.25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21.95" customHeight="1" x14ac:dyDescent="0.2">
      <c r="A7" s="2" t="s">
        <v>3</v>
      </c>
      <c r="B7" s="17">
        <f>B4 +1</f>
        <v>45752</v>
      </c>
      <c r="C7" s="18">
        <v>8</v>
      </c>
      <c r="D7" s="18">
        <v>0</v>
      </c>
      <c r="E7" s="18">
        <v>0</v>
      </c>
      <c r="F7" s="18">
        <v>0</v>
      </c>
      <c r="G7" s="18">
        <v>0</v>
      </c>
      <c r="H7" s="18">
        <v>2</v>
      </c>
      <c r="I7" s="18">
        <v>0</v>
      </c>
      <c r="J7" s="19">
        <v>0</v>
      </c>
      <c r="K7" s="18">
        <v>0</v>
      </c>
      <c r="L7" s="18">
        <v>0</v>
      </c>
      <c r="M7" s="20">
        <v>0</v>
      </c>
    </row>
    <row r="8" spans="1:25" ht="45.75" customHeight="1" thickBot="1" x14ac:dyDescent="0.25">
      <c r="A8" s="4" t="s">
        <v>6</v>
      </c>
      <c r="B8" s="21" t="s">
        <v>27</v>
      </c>
      <c r="C8" s="61"/>
      <c r="D8" s="38"/>
      <c r="E8" s="38"/>
      <c r="F8" s="38"/>
      <c r="G8" s="38"/>
      <c r="H8" s="38"/>
      <c r="I8" s="38"/>
      <c r="J8" s="38"/>
      <c r="K8" s="38"/>
      <c r="L8" s="38"/>
      <c r="M8" s="39"/>
    </row>
    <row r="9" spans="1:25" ht="21.95" customHeight="1" thickBo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25" ht="21.95" customHeight="1" x14ac:dyDescent="0.2">
      <c r="A10" s="2" t="s">
        <v>4</v>
      </c>
      <c r="B10" s="17">
        <f>B4 +2</f>
        <v>45753</v>
      </c>
      <c r="C10" s="18">
        <v>10</v>
      </c>
      <c r="D10" s="18">
        <v>0</v>
      </c>
      <c r="E10" s="18">
        <v>0</v>
      </c>
      <c r="F10" s="18">
        <v>0</v>
      </c>
      <c r="G10" s="18">
        <v>0</v>
      </c>
      <c r="H10" s="18">
        <v>2</v>
      </c>
      <c r="I10" s="18">
        <v>0</v>
      </c>
      <c r="J10" s="19">
        <v>0</v>
      </c>
      <c r="K10" s="18">
        <v>0</v>
      </c>
      <c r="L10" s="18">
        <v>0</v>
      </c>
      <c r="M10" s="20">
        <v>0</v>
      </c>
    </row>
    <row r="11" spans="1:25" ht="45.75" customHeight="1" thickBot="1" x14ac:dyDescent="0.25">
      <c r="A11" s="4" t="s">
        <v>6</v>
      </c>
      <c r="B11" s="21" t="s">
        <v>27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4"/>
    </row>
    <row r="12" spans="1:25" ht="21.95" customHeight="1" thickBot="1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spans="1:25" ht="21.95" customHeight="1" x14ac:dyDescent="0.2">
      <c r="A13" s="2" t="s">
        <v>7</v>
      </c>
      <c r="B13" s="17">
        <f>B4 +3</f>
        <v>45754</v>
      </c>
      <c r="C13" s="18">
        <v>8</v>
      </c>
      <c r="D13" s="18">
        <v>0</v>
      </c>
      <c r="E13" s="18">
        <v>0</v>
      </c>
      <c r="F13" s="18">
        <v>0</v>
      </c>
      <c r="G13" s="18">
        <v>0</v>
      </c>
      <c r="H13" s="23">
        <v>0</v>
      </c>
      <c r="I13" s="18">
        <v>0</v>
      </c>
      <c r="J13" s="19">
        <v>0</v>
      </c>
      <c r="K13" s="18">
        <v>0</v>
      </c>
      <c r="L13" s="18">
        <v>0</v>
      </c>
      <c r="M13" s="20">
        <v>0</v>
      </c>
    </row>
    <row r="14" spans="1:25" ht="45.75" customHeight="1" thickBot="1" x14ac:dyDescent="0.25">
      <c r="A14" s="4" t="s">
        <v>6</v>
      </c>
      <c r="B14" s="21" t="s">
        <v>27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9"/>
    </row>
    <row r="15" spans="1:25" ht="21.95" customHeight="1" thickBo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spans="1:25" ht="21.95" customHeight="1" x14ac:dyDescent="0.2">
      <c r="A16" s="2" t="s">
        <v>8</v>
      </c>
      <c r="B16" s="17">
        <f>B4 +4</f>
        <v>45755</v>
      </c>
      <c r="C16" s="18">
        <v>12</v>
      </c>
      <c r="D16" s="18">
        <v>0</v>
      </c>
      <c r="E16" s="18">
        <v>0</v>
      </c>
      <c r="F16" s="18">
        <v>0</v>
      </c>
      <c r="G16" s="18">
        <v>0</v>
      </c>
      <c r="H16" s="23">
        <v>8</v>
      </c>
      <c r="I16" s="18">
        <v>0</v>
      </c>
      <c r="J16" s="19">
        <v>0</v>
      </c>
      <c r="K16" s="18">
        <v>0</v>
      </c>
      <c r="L16" s="18">
        <v>0</v>
      </c>
      <c r="M16" s="20">
        <v>0</v>
      </c>
    </row>
    <row r="17" spans="1:13" ht="45.75" customHeight="1" thickBot="1" x14ac:dyDescent="0.25">
      <c r="A17" s="4" t="s">
        <v>6</v>
      </c>
      <c r="B17" s="21" t="s">
        <v>27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9"/>
    </row>
    <row r="18" spans="1:13" ht="21.75" customHeight="1" thickBot="1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</row>
    <row r="19" spans="1:13" ht="21.95" customHeight="1" x14ac:dyDescent="0.2">
      <c r="A19" s="2" t="s">
        <v>5</v>
      </c>
      <c r="B19" s="17">
        <f>B4 +5</f>
        <v>45756</v>
      </c>
      <c r="C19" s="18">
        <v>8</v>
      </c>
      <c r="D19" s="18">
        <v>0</v>
      </c>
      <c r="E19" s="18">
        <v>0</v>
      </c>
      <c r="F19" s="18">
        <v>0</v>
      </c>
      <c r="G19" s="18">
        <v>0</v>
      </c>
      <c r="H19" s="23">
        <v>0</v>
      </c>
      <c r="I19" s="18">
        <v>0</v>
      </c>
      <c r="J19" s="19">
        <v>0</v>
      </c>
      <c r="K19" s="18">
        <v>0</v>
      </c>
      <c r="L19" s="18">
        <v>0</v>
      </c>
      <c r="M19" s="20">
        <v>0</v>
      </c>
    </row>
    <row r="20" spans="1:13" ht="45.75" customHeight="1" thickBot="1" x14ac:dyDescent="0.25">
      <c r="A20" s="4" t="s">
        <v>6</v>
      </c>
      <c r="B20" s="21" t="s">
        <v>27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9"/>
    </row>
    <row r="21" spans="1:13" ht="21.95" customHeight="1" thickBot="1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3" ht="21.95" customHeight="1" x14ac:dyDescent="0.2">
      <c r="A22" s="2" t="s">
        <v>9</v>
      </c>
      <c r="B22" s="17">
        <f>B4 +6</f>
        <v>45757</v>
      </c>
      <c r="C22" s="18"/>
      <c r="D22" s="18"/>
      <c r="E22" s="18"/>
      <c r="F22" s="18"/>
      <c r="G22" s="18"/>
      <c r="H22" s="23"/>
      <c r="I22" s="18"/>
      <c r="J22" s="19"/>
      <c r="K22" s="18"/>
      <c r="L22" s="18"/>
      <c r="M22" s="20"/>
    </row>
    <row r="23" spans="1:13" ht="45.75" customHeight="1" thickBot="1" x14ac:dyDescent="0.35">
      <c r="A23" s="4" t="s">
        <v>6</v>
      </c>
      <c r="B23" s="24" t="s">
        <v>27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</row>
    <row r="24" spans="1:13" ht="26.25" customHeight="1" thickBot="1" x14ac:dyDescent="0.4">
      <c r="A24" s="42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 ht="24.95" customHeight="1" x14ac:dyDescent="0.2">
      <c r="A25" s="57" t="s">
        <v>16</v>
      </c>
      <c r="B25" s="58"/>
      <c r="C25" s="32" t="s">
        <v>12</v>
      </c>
      <c r="D25" s="33" t="s">
        <v>21</v>
      </c>
      <c r="E25" s="33" t="s">
        <v>18</v>
      </c>
      <c r="F25" s="33" t="s">
        <v>19</v>
      </c>
      <c r="G25" s="33" t="s">
        <v>22</v>
      </c>
      <c r="H25" s="34" t="s">
        <v>20</v>
      </c>
      <c r="I25" s="35" t="s">
        <v>10</v>
      </c>
      <c r="J25" s="36" t="s">
        <v>24</v>
      </c>
      <c r="K25" s="33" t="s">
        <v>14</v>
      </c>
      <c r="L25" s="33" t="s">
        <v>13</v>
      </c>
      <c r="M25" s="31" t="s">
        <v>26</v>
      </c>
    </row>
    <row r="26" spans="1:13" ht="24.95" customHeight="1" thickBot="1" x14ac:dyDescent="0.25">
      <c r="A26" s="59" t="s">
        <v>15</v>
      </c>
      <c r="B26" s="60"/>
      <c r="C26" s="25">
        <f>SUM(C7,C10,C13,C16,C19)</f>
        <v>46</v>
      </c>
      <c r="D26" s="25">
        <f>SUM(D7,D10,D13,D16,D19)</f>
        <v>0</v>
      </c>
      <c r="E26" s="25">
        <f t="shared" ref="E26:M26" si="0">SUM(E4,E7,E10,E13,E16,E19,E22)</f>
        <v>0</v>
      </c>
      <c r="F26" s="25">
        <f t="shared" si="0"/>
        <v>0</v>
      </c>
      <c r="G26" s="25">
        <f t="shared" si="0"/>
        <v>0</v>
      </c>
      <c r="H26" s="26">
        <f t="shared" si="0"/>
        <v>12</v>
      </c>
      <c r="I26" s="25">
        <f t="shared" si="0"/>
        <v>0</v>
      </c>
      <c r="J26" s="27">
        <f t="shared" si="0"/>
        <v>0</v>
      </c>
      <c r="K26" s="25">
        <f t="shared" si="0"/>
        <v>0</v>
      </c>
      <c r="L26" s="25">
        <f t="shared" si="0"/>
        <v>0</v>
      </c>
      <c r="M26" s="28">
        <f t="shared" si="0"/>
        <v>0</v>
      </c>
    </row>
    <row r="27" spans="1:13" ht="24.95" customHeight="1" x14ac:dyDescent="0.2">
      <c r="A27" s="29"/>
    </row>
  </sheetData>
  <mergeCells count="20">
    <mergeCell ref="F2:M2"/>
    <mergeCell ref="A1:B1"/>
    <mergeCell ref="C1:M1"/>
    <mergeCell ref="A25:B25"/>
    <mergeCell ref="A26:B26"/>
    <mergeCell ref="C8:M8"/>
    <mergeCell ref="C5:M5"/>
    <mergeCell ref="C11:M11"/>
    <mergeCell ref="C14:M14"/>
    <mergeCell ref="C17:M17"/>
    <mergeCell ref="C20:M20"/>
    <mergeCell ref="A18:M18"/>
    <mergeCell ref="A24:M24"/>
    <mergeCell ref="B2:E2"/>
    <mergeCell ref="A12:M12"/>
    <mergeCell ref="A21:M21"/>
    <mergeCell ref="A9:M9"/>
    <mergeCell ref="A15:M15"/>
    <mergeCell ref="A6:M6"/>
    <mergeCell ref="C23:M23"/>
  </mergeCells>
  <phoneticPr fontId="0" type="noConversion"/>
  <printOptions gridLines="1"/>
  <pageMargins left="0.7" right="0.7" top="0.75" bottom="0.75" header="0.3" footer="0.3"/>
  <pageSetup scale="92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Reese</dc:creator>
  <cp:lastModifiedBy>Brian Chowns</cp:lastModifiedBy>
  <cp:lastPrinted>2024-08-12T15:06:31Z</cp:lastPrinted>
  <dcterms:created xsi:type="dcterms:W3CDTF">2014-08-23T14:24:34Z</dcterms:created>
  <dcterms:modified xsi:type="dcterms:W3CDTF">2026-03-21T00:55:04Z</dcterms:modified>
</cp:coreProperties>
</file>