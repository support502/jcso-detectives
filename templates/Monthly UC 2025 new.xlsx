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5" windowWidth="12435" windowHeight="11820" tabRatio="600" firstSheet="0" activeTab="3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t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Year Total 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22"/>
      <scheme val="minor"/>
    </font>
    <font>
      <name val="Calibri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A5A5A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/>
      <diagonal/>
    </border>
    <border>
      <left style="thin">
        <color rgb="FF3F3F3F"/>
      </left>
      <right style="thin">
        <color rgb="FF3F3F3F"/>
      </right>
      <top style="double">
        <color rgb="FF3F3F3F"/>
      </top>
      <bottom/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7" fillId="2" borderId="3"/>
  </cellStyleXfs>
  <cellXfs count="6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/>
    </xf>
    <xf numFmtId="0" fontId="6" fillId="0" borderId="4" pivotButton="0" quotePrefix="0" xfId="0"/>
    <xf numFmtId="0" fontId="8" fillId="0" borderId="4" pivotButton="0" quotePrefix="0" xfId="0"/>
    <xf numFmtId="0" fontId="3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/>
    </xf>
    <xf numFmtId="0" fontId="6" fillId="0" borderId="4" applyAlignment="1" pivotButton="0" quotePrefix="0" xfId="0">
      <alignment horizontal="right"/>
    </xf>
    <xf numFmtId="0" fontId="8" fillId="0" borderId="0" pivotButton="0" quotePrefix="0" xfId="0"/>
    <xf numFmtId="0" fontId="5" fillId="0" borderId="4" applyAlignment="1" pivotButton="0" quotePrefix="0" xfId="0">
      <alignment horizontal="right"/>
    </xf>
    <xf numFmtId="0" fontId="12" fillId="0" borderId="4" pivotButton="0" quotePrefix="0" xfId="0"/>
    <xf numFmtId="0" fontId="13" fillId="0" borderId="0" pivotButton="0" quotePrefix="0" xfId="0"/>
    <xf numFmtId="0" fontId="13" fillId="0" borderId="4" pivotButton="0" quotePrefix="0" xfId="0"/>
    <xf numFmtId="0" fontId="13" fillId="0" borderId="4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4" fillId="0" borderId="5" pivotButton="0" quotePrefix="0" xfId="0"/>
    <xf numFmtId="0" fontId="14" fillId="0" borderId="6" pivotButton="0" quotePrefix="0" xfId="0"/>
    <xf numFmtId="0" fontId="14" fillId="0" borderId="7" applyAlignment="1" pivotButton="0" quotePrefix="0" xfId="0">
      <alignment horizontal="right"/>
    </xf>
    <xf numFmtId="0" fontId="14" fillId="0" borderId="1" pivotButton="0" quotePrefix="0" xfId="0"/>
    <xf numFmtId="0" fontId="6" fillId="0" borderId="0" applyAlignment="1" pivotButton="0" quotePrefix="0" xfId="0">
      <alignment horizontal="right" wrapText="1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2" borderId="1" pivotButton="0" quotePrefix="0" xfId="1"/>
    <xf numFmtId="0" fontId="13" fillId="0" borderId="1" pivotButton="0" quotePrefix="0" xfId="0"/>
    <xf numFmtId="0" fontId="7" fillId="2" borderId="3" pivotButton="0" quotePrefix="0" xfId="1"/>
    <xf numFmtId="0" fontId="13" fillId="0" borderId="1" pivotButton="0" quotePrefix="0" xfId="0"/>
    <xf numFmtId="0" fontId="2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9" fillId="0" borderId="4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10" fillId="2" borderId="1" applyAlignment="1" pivotButton="0" quotePrefix="0" xfId="1">
      <alignment horizontal="center"/>
    </xf>
    <xf numFmtId="0" fontId="7" fillId="2" borderId="1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5" fillId="2" borderId="3" applyAlignment="1" pivotButton="0" quotePrefix="0" xfId="1">
      <alignment horizontal="center"/>
    </xf>
    <xf numFmtId="0" fontId="15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topLeftCell="A13" zoomScaleNormal="100" workbookViewId="0">
      <selection activeCell="N6" sqref="N6"/>
    </sheetView>
  </sheetViews>
  <sheetFormatPr baseColWidth="8" defaultRowHeight="15"/>
  <cols>
    <col width="20.42578125" customWidth="1" style="1" min="1" max="1"/>
    <col width="8.42578125" customWidth="1" min="2" max="2"/>
    <col width="8.5703125" customWidth="1" min="4" max="4"/>
    <col width="9.140625" customWidth="1" min="6" max="6"/>
    <col width="11.28515625" customWidth="1" min="7" max="7"/>
    <col width="13.5703125" customWidth="1" min="8" max="8"/>
    <col width="12.42578125" customWidth="1" min="9" max="9"/>
    <col width="8.28515625" customWidth="1" min="10" max="10"/>
    <col width="10.7109375" customWidth="1" min="11" max="11"/>
    <col width="13.7109375" customWidth="1" min="12" max="12"/>
    <col width="17.42578125" customWidth="1" min="13" max="13"/>
    <col width="12.42578125" customWidth="1" min="14" max="14"/>
    <col width="10.28515625" customWidth="1" min="19" max="19"/>
  </cols>
  <sheetData>
    <row r="1" ht="37.5" customHeight="1">
      <c r="A1" s="50" t="inlineStr">
        <is>
          <t xml:space="preserve"> END OF MONTH ACTIVITY TOTALS  January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6.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2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18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22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9.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7.2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9.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18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18.75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7.2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20.2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6.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21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18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1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22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21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7.2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9.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1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5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18.7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20.2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9.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7.2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6.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0.25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1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8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7.2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19.5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33.7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3:L3"/>
    <mergeCell ref="B24:L24"/>
    <mergeCell ref="B10:L10"/>
    <mergeCell ref="B31:L31"/>
    <mergeCell ref="B17:L17"/>
  </mergeCells>
  <printOptions horizontalCentered="1"/>
  <pageMargins left="0.2" right="0.2" top="0.25" bottom="0.25" header="0" footer="0"/>
  <pageSetup orientation="landscape" scale="61"/>
  <rowBreaks count="1" manualBreakCount="1">
    <brk id="2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O38" sqref="O38"/>
    </sheetView>
  </sheetViews>
  <sheetFormatPr baseColWidth="8" defaultRowHeight="15"/>
  <cols>
    <col width="19" customWidth="1" min="1" max="1"/>
    <col width="18.28515625" customWidth="1" min="13" max="13"/>
    <col width="11.28515625" customWidth="1" min="19" max="19"/>
  </cols>
  <sheetData>
    <row r="1" ht="28.5" customHeight="1">
      <c r="A1" s="53" t="inlineStr">
        <is>
          <t xml:space="preserve"> END OF MONTH ACTIVITY TOTALS February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T4" sqref="T4"/>
    </sheetView>
  </sheetViews>
  <sheetFormatPr baseColWidth="8" defaultRowHeight="15"/>
  <cols>
    <col width="20.5703125" customWidth="1" min="1" max="1"/>
    <col width="17.28515625" customWidth="1" min="13" max="13"/>
    <col width="11.140625" customWidth="1" min="19" max="19"/>
  </cols>
  <sheetData>
    <row r="1" ht="28.5" customHeight="1">
      <c r="A1" s="53" t="inlineStr">
        <is>
          <t xml:space="preserve"> END OF MONTH ACTIVITY TOTALS March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selection activeCell="B19" sqref="B19"/>
    </sheetView>
  </sheetViews>
  <sheetFormatPr baseColWidth="8" defaultRowHeight="15"/>
  <cols>
    <col width="19.7109375" customWidth="1" min="1" max="1"/>
    <col width="17.42578125" customWidth="1" min="13" max="13"/>
    <col width="11.140625" customWidth="1" min="19" max="19"/>
  </cols>
  <sheetData>
    <row r="1" ht="28.5" customHeight="1">
      <c r="A1" s="53" t="inlineStr">
        <is>
          <t xml:space="preserve"> END OF MONTH ACTIVITY TOTALS April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0.25" customHeight="1" thickBot="1" thickTop="1">
      <c r="A17" s="19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S6" sqref="S6"/>
    </sheetView>
  </sheetViews>
  <sheetFormatPr baseColWidth="8" defaultRowHeight="15"/>
  <cols>
    <col width="20.28515625" customWidth="1" min="1" max="1"/>
    <col width="17.140625" customWidth="1" min="13" max="13"/>
    <col width="11" customWidth="1" min="19" max="19"/>
  </cols>
  <sheetData>
    <row r="1" ht="28.5" customHeight="1">
      <c r="A1" s="53" t="inlineStr">
        <is>
          <t xml:space="preserve"> END OF MONTH ACTIVITY TOTALS May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topLeftCell="A16" workbookViewId="0">
      <selection activeCell="S5" sqref="S5"/>
    </sheetView>
  </sheetViews>
  <sheetFormatPr baseColWidth="8" defaultRowHeight="15"/>
  <cols>
    <col width="13.85546875" customWidth="1" min="1" max="1"/>
    <col width="17.7109375" customWidth="1" min="13" max="13"/>
    <col width="12.42578125" customWidth="1" min="19" max="19"/>
  </cols>
  <sheetData>
    <row r="1" ht="28.5" customHeight="1">
      <c r="A1" s="53" t="inlineStr">
        <is>
          <t xml:space="preserve"> END OF MONTH ACTIVITY TOTALS June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2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J8" sqref="J8"/>
    </sheetView>
  </sheetViews>
  <sheetFormatPr baseColWidth="8" defaultRowHeight="15"/>
  <cols>
    <col width="18.5703125" customWidth="1" min="1" max="1"/>
    <col width="17" customWidth="1" min="13" max="13"/>
    <col width="11.42578125" customWidth="1" min="19" max="19"/>
  </cols>
  <sheetData>
    <row r="1" ht="26.25" customHeight="1">
      <c r="A1" s="54" t="inlineStr">
        <is>
          <t xml:space="preserve"> END OF MONTH ACTIVITY TOTALS July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33" customHeight="1" thickBot="1">
      <c r="A2" s="24" t="inlineStr">
        <is>
          <t>NAME</t>
        </is>
      </c>
      <c r="B2" s="35" t="inlineStr">
        <is>
          <t xml:space="preserve">Hours Worked </t>
        </is>
      </c>
      <c r="C2" s="35" t="inlineStr">
        <is>
          <t>Attempted Operations</t>
        </is>
      </c>
      <c r="D2" s="35" t="inlineStr">
        <is>
          <t>UC/CI Cases</t>
        </is>
      </c>
      <c r="E2" s="35" t="inlineStr">
        <is>
          <t>TNO Cases</t>
        </is>
      </c>
      <c r="F2" s="35" t="inlineStr">
        <is>
          <t>SW Cases</t>
        </is>
      </c>
      <c r="G2" s="35" t="inlineStr">
        <is>
          <t>Surv. Hours</t>
        </is>
      </c>
      <c r="H2" s="35" t="inlineStr">
        <is>
          <t>Patrol/Jail Cases</t>
        </is>
      </c>
      <c r="I2" s="35" t="inlineStr">
        <is>
          <t>PC Arrests</t>
        </is>
      </c>
      <c r="J2" s="35" t="inlineStr">
        <is>
          <t>Warrant Arrests</t>
        </is>
      </c>
      <c r="K2" s="35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18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20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2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4.25" customHeight="1">
      <c r="A6" s="2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5.75" customHeight="1">
      <c r="A7" s="2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5" customHeight="1">
      <c r="A8" s="2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14.25" customFormat="1" customHeight="1" s="17">
      <c r="A9" s="18" t="inlineStr">
        <is>
          <t xml:space="preserve">Total </t>
        </is>
      </c>
      <c r="B9" s="23">
        <f>SUM(B4:B8)</f>
        <v/>
      </c>
      <c r="C9" s="23">
        <f>SUM(C4:C8)</f>
        <v/>
      </c>
      <c r="D9" s="23">
        <f>SUM(D4:D8)</f>
        <v/>
      </c>
      <c r="E9" s="23">
        <f>SUM(E4:E8)</f>
        <v/>
      </c>
      <c r="F9" s="23">
        <f>SUM(F4:F8)</f>
        <v/>
      </c>
      <c r="G9" s="23">
        <f>SUM(G4:G8)</f>
        <v/>
      </c>
      <c r="H9" s="23">
        <f>SUM(H4:H8)</f>
        <v/>
      </c>
      <c r="I9" s="23">
        <f>SUM(I4:I8)</f>
        <v/>
      </c>
      <c r="J9" s="23">
        <f>SUM(J4:J8)</f>
        <v/>
      </c>
      <c r="K9" s="23">
        <f>SUM(K4:K8)</f>
        <v/>
      </c>
      <c r="L9" s="23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17.25" customHeight="1">
      <c r="A10" s="19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5.75" customHeight="1">
      <c r="A11" s="20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5.75" customHeight="1">
      <c r="A12" s="2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5.75" customHeight="1">
      <c r="A13" s="2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5.75" customHeight="1">
      <c r="A14" s="2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5.75" customHeight="1">
      <c r="A15" s="2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16.5" customHeight="1" thickBot="1">
      <c r="A16" s="18" t="inlineStr">
        <is>
          <t>Total</t>
        </is>
      </c>
      <c r="B16" s="23">
        <f>SUM(B11:B15)</f>
        <v/>
      </c>
      <c r="C16" s="23">
        <f>SUM(C11:C15)</f>
        <v/>
      </c>
      <c r="D16" s="23">
        <f>SUM(D11:D15)</f>
        <v/>
      </c>
      <c r="E16" s="23">
        <f>SUM(E11:E15)</f>
        <v/>
      </c>
      <c r="F16" s="23">
        <f>SUM(F11:F15)</f>
        <v/>
      </c>
      <c r="G16" s="23">
        <f>SUM(G11:G15)</f>
        <v/>
      </c>
      <c r="H16" s="23">
        <f>SUM(H11:H15)</f>
        <v/>
      </c>
      <c r="I16" s="23">
        <f>SUM(I11:I15)</f>
        <v/>
      </c>
      <c r="J16" s="23">
        <f>SUM(J11:J15)</f>
        <v/>
      </c>
      <c r="K16" s="23">
        <f>SUM(K11:K15)</f>
        <v/>
      </c>
      <c r="L16" s="23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0.25" customHeight="1" thickBot="1" thickTop="1">
      <c r="A17" s="19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6.5" customHeight="1" thickTop="1">
      <c r="A18" s="20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3.5" customHeight="1">
      <c r="A19" s="22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4.25" customHeight="1">
      <c r="A20" s="22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4.25" customHeight="1">
      <c r="A21" s="22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3.5" customHeight="1">
      <c r="A22" s="2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14.25" customHeight="1" thickBot="1">
      <c r="A23" s="18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E23" s="23">
        <f>SUM(E18:E22)</f>
        <v/>
      </c>
      <c r="F23" s="23">
        <f>SUM(F18:F22)</f>
        <v/>
      </c>
      <c r="G23" s="23">
        <f>SUM(G18:G22)</f>
        <v/>
      </c>
      <c r="H23" s="23">
        <f>SUM(H18:H22)</f>
        <v/>
      </c>
      <c r="I23" s="23">
        <f>SUM(I18:I22)</f>
        <v/>
      </c>
      <c r="J23" s="23">
        <f>SUM(J18:J22)</f>
        <v/>
      </c>
      <c r="K23" s="23">
        <f>SUM(K18:K22)</f>
        <v/>
      </c>
      <c r="L23" s="23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  <pageSetup orientation="landscape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"/>
  <sheetViews>
    <sheetView topLeftCell="A16" workbookViewId="0">
      <selection activeCell="P7" sqref="P7"/>
    </sheetView>
  </sheetViews>
  <sheetFormatPr baseColWidth="8" defaultRowHeight="15"/>
  <cols>
    <col width="19.42578125" customWidth="1" min="1" max="1"/>
    <col width="17.5703125" customWidth="1" min="13" max="13"/>
    <col width="11.85546875" customWidth="1" min="19" max="19"/>
  </cols>
  <sheetData>
    <row r="1" ht="28.5" customHeight="1">
      <c r="A1" s="53" t="inlineStr">
        <is>
          <t xml:space="preserve"> END OF MONTH ACTIVITY TOTALS August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8"/>
  <sheetViews>
    <sheetView topLeftCell="A16" workbookViewId="0">
      <selection activeCell="N38" sqref="N38"/>
    </sheetView>
  </sheetViews>
  <sheetFormatPr baseColWidth="8" defaultRowHeight="15"/>
  <cols>
    <col width="19.5703125" customWidth="1" min="1" max="1"/>
    <col width="17.7109375" customWidth="1" min="13" max="13"/>
    <col width="12.5703125" customWidth="1" min="19" max="19"/>
  </cols>
  <sheetData>
    <row r="1" ht="28.5" customHeight="1">
      <c r="A1" s="53" t="inlineStr">
        <is>
          <t xml:space="preserve"> END OF MONTH ACTIVITY TOTALS September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M1" sqref="M1:T38"/>
    </sheetView>
  </sheetViews>
  <sheetFormatPr baseColWidth="8" defaultRowHeight="15"/>
  <cols>
    <col width="19.140625" customWidth="1" min="1" max="1"/>
    <col width="17.7109375" customWidth="1" min="13" max="13"/>
    <col width="11.42578125" customWidth="1" min="19" max="19"/>
  </cols>
  <sheetData>
    <row r="1" ht="28.5" customHeight="1">
      <c r="A1" s="53" t="inlineStr">
        <is>
          <t xml:space="preserve"> END OF MONTH ACTIVITY TOTALS October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M1" sqref="M1:T38"/>
    </sheetView>
  </sheetViews>
  <sheetFormatPr baseColWidth="8" defaultRowHeight="15"/>
  <cols>
    <col width="19.85546875" customWidth="1" min="1" max="1"/>
    <col width="17.42578125" customWidth="1" min="13" max="13"/>
    <col width="11.42578125" customWidth="1" min="19" max="19"/>
  </cols>
  <sheetData>
    <row r="1" ht="28.5" customHeight="1">
      <c r="A1" s="53" t="inlineStr">
        <is>
          <t xml:space="preserve"> END OF MONTH ACTIVITY TOTALS November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M1" sqref="M1:T38"/>
    </sheetView>
  </sheetViews>
  <sheetFormatPr baseColWidth="8" defaultRowHeight="15"/>
  <cols>
    <col width="19.85546875" customWidth="1" min="1" max="1"/>
    <col width="17.5703125" customWidth="1" min="13" max="13"/>
    <col width="10.5703125" customWidth="1" min="19" max="19"/>
  </cols>
  <sheetData>
    <row r="1" ht="28.5" customHeight="1">
      <c r="A1" s="53" t="inlineStr">
        <is>
          <t xml:space="preserve"> END OF MONTH ACTIVITY TOTALS December UC Detectives 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N1" s="7" t="inlineStr">
        <is>
          <t xml:space="preserve">Drug Seizures </t>
        </is>
      </c>
      <c r="O1" s="58" t="n"/>
      <c r="P1" s="58" t="n"/>
      <c r="Q1" s="58" t="n"/>
      <c r="R1" s="58" t="n"/>
      <c r="S1" s="58" t="n"/>
      <c r="T1" s="59" t="n"/>
    </row>
    <row r="2" ht="47.25" customHeight="1" thickBot="1">
      <c r="A2" s="9" t="inlineStr">
        <is>
          <t>NAME</t>
        </is>
      </c>
      <c r="B2" s="32" t="inlineStr">
        <is>
          <t xml:space="preserve">Hours Worked </t>
        </is>
      </c>
      <c r="C2" s="35" t="inlineStr">
        <is>
          <t>Attempted Operations</t>
        </is>
      </c>
      <c r="D2" s="32" t="inlineStr">
        <is>
          <t>UC/CI Cases</t>
        </is>
      </c>
      <c r="E2" s="32" t="inlineStr">
        <is>
          <t>TNO Cases</t>
        </is>
      </c>
      <c r="F2" s="32" t="inlineStr">
        <is>
          <t>SW Cases</t>
        </is>
      </c>
      <c r="G2" s="34" t="inlineStr">
        <is>
          <t>Surv. Hours</t>
        </is>
      </c>
      <c r="H2" s="34" t="inlineStr">
        <is>
          <t>Patrol/Jail Cases</t>
        </is>
      </c>
      <c r="I2" s="32" t="inlineStr">
        <is>
          <t>PC Arrests</t>
        </is>
      </c>
      <c r="J2" s="32" t="inlineStr">
        <is>
          <t>Warrant Arrests</t>
        </is>
      </c>
      <c r="K2" s="32" t="inlineStr">
        <is>
          <t>Training Hours</t>
        </is>
      </c>
      <c r="L2" s="35" t="inlineStr">
        <is>
          <t>Detective/Agency Assist</t>
        </is>
      </c>
      <c r="M2" s="38" t="inlineStr">
        <is>
          <t>NAME</t>
        </is>
      </c>
      <c r="N2" s="35" t="inlineStr">
        <is>
          <t>Meth (g)</t>
        </is>
      </c>
      <c r="O2" s="34" t="inlineStr">
        <is>
          <t>Cocaine (g)</t>
        </is>
      </c>
      <c r="P2" s="34" t="inlineStr">
        <is>
          <t>Heroin (g)</t>
        </is>
      </c>
      <c r="Q2" s="34" t="inlineStr">
        <is>
          <t>Fentanyl (g)</t>
        </is>
      </c>
      <c r="R2" s="35" t="inlineStr">
        <is>
          <t>Marijuana (OZ)</t>
        </is>
      </c>
      <c r="S2" s="36" t="inlineStr">
        <is>
          <t>Promethazine/ Codeine (OZ)</t>
        </is>
      </c>
      <c r="T2" s="35" t="inlineStr">
        <is>
          <t>RX Pills (#)</t>
        </is>
      </c>
    </row>
    <row r="3" ht="22.5" customHeight="1" thickBot="1" thickTop="1">
      <c r="A3" s="10" t="inlineStr">
        <is>
          <t>Colton Lowe</t>
        </is>
      </c>
      <c r="B3" s="52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9" t="n"/>
      <c r="M3" s="30" t="inlineStr">
        <is>
          <t>Colton Lowe</t>
        </is>
      </c>
      <c r="N3" s="41" t="n"/>
      <c r="O3" s="41" t="n"/>
      <c r="P3" s="41" t="n"/>
      <c r="Q3" s="41" t="n"/>
      <c r="R3" s="41" t="n"/>
      <c r="S3" s="41" t="n"/>
      <c r="T3" s="41" t="n"/>
    </row>
    <row r="4" ht="19.5" customHeight="1" thickTop="1">
      <c r="A4" s="17" t="inlineStr">
        <is>
          <t>Week 1</t>
        </is>
      </c>
      <c r="B4" s="2" t="inlineStr">
        <is>
          <t xml:space="preserve"> </t>
        </is>
      </c>
      <c r="C4" s="2" t="inlineStr">
        <is>
          <t xml:space="preserve">   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7" t="inlineStr">
        <is>
          <t>Week 1</t>
        </is>
      </c>
      <c r="N4" s="33" t="n"/>
      <c r="O4" s="33" t="n"/>
      <c r="P4" s="33" t="n"/>
      <c r="Q4" s="33" t="n"/>
      <c r="R4" s="33" t="n"/>
      <c r="S4" s="33" t="n"/>
      <c r="T4" s="33" t="n"/>
    </row>
    <row r="5" ht="18.75" customHeight="1">
      <c r="A5" s="11" t="inlineStr">
        <is>
          <t>Week 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Week 2</t>
        </is>
      </c>
      <c r="N5" s="33" t="n"/>
      <c r="O5" s="33" t="n"/>
      <c r="P5" s="33" t="n"/>
      <c r="Q5" s="33" t="n"/>
      <c r="R5" s="33" t="n"/>
      <c r="S5" s="33" t="n"/>
      <c r="T5" s="33" t="n"/>
    </row>
    <row r="6" ht="18.75" customHeight="1">
      <c r="A6" s="11" t="inlineStr">
        <is>
          <t>Week 3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inlineStr">
        <is>
          <t>Week 3</t>
        </is>
      </c>
      <c r="N6" s="33" t="n"/>
      <c r="O6" s="33" t="n"/>
      <c r="P6" s="33" t="n"/>
      <c r="Q6" s="33" t="n"/>
      <c r="R6" s="33" t="n"/>
      <c r="S6" s="33" t="n"/>
      <c r="T6" s="33" t="n"/>
    </row>
    <row r="7" ht="18.75" customHeight="1">
      <c r="A7" s="11" t="inlineStr">
        <is>
          <t>Week 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inlineStr">
        <is>
          <t>Week 4</t>
        </is>
      </c>
      <c r="N7" s="33" t="n"/>
      <c r="O7" s="33" t="n"/>
      <c r="P7" s="33" t="n"/>
      <c r="Q7" s="33" t="n"/>
      <c r="R7" s="33" t="n"/>
      <c r="S7" s="33" t="n"/>
      <c r="T7" s="33" t="n"/>
    </row>
    <row r="8" ht="18.75" customHeight="1">
      <c r="A8" s="11" t="inlineStr">
        <is>
          <t>Week 5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inlineStr">
        <is>
          <t>Week 5</t>
        </is>
      </c>
      <c r="N8" s="33" t="n"/>
      <c r="O8" s="33" t="n"/>
      <c r="P8" s="33" t="n"/>
      <c r="Q8" s="33" t="n"/>
      <c r="R8" s="33" t="n"/>
      <c r="S8" s="33" t="n"/>
      <c r="T8" s="33" t="n"/>
    </row>
    <row r="9" ht="23.25" customHeight="1">
      <c r="A9" s="12" t="inlineStr">
        <is>
          <t xml:space="preserve">Total 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30" t="inlineStr">
        <is>
          <t xml:space="preserve">Total </t>
        </is>
      </c>
      <c r="N9" s="33">
        <f>SUM(N4:N8)</f>
        <v/>
      </c>
      <c r="O9" s="33">
        <f>SUM(O4:O8)</f>
        <v/>
      </c>
      <c r="P9" s="33">
        <f>SUM(P4:P8)</f>
        <v/>
      </c>
      <c r="Q9" s="33">
        <f>SUM(Q4:Q8)</f>
        <v/>
      </c>
      <c r="R9" s="33">
        <f>SUM(R4:R8)</f>
        <v/>
      </c>
      <c r="S9" s="33">
        <f>SUM(S4:S8)</f>
        <v/>
      </c>
      <c r="T9" s="33">
        <f>SUM(T4:T8)</f>
        <v/>
      </c>
    </row>
    <row r="10" ht="21" customHeight="1">
      <c r="A10" s="10" t="inlineStr">
        <is>
          <t>Layne Verdine</t>
        </is>
      </c>
      <c r="B10" s="52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30" t="inlineStr">
        <is>
          <t>Layne Verdine</t>
        </is>
      </c>
      <c r="N10" s="39" t="n"/>
      <c r="O10" s="39" t="n"/>
      <c r="P10" s="39" t="n"/>
      <c r="Q10" s="39" t="n"/>
      <c r="R10" s="39" t="n"/>
      <c r="S10" s="39" t="n"/>
      <c r="T10" s="39" t="n"/>
    </row>
    <row r="11" ht="18.75" customHeight="1">
      <c r="A11" s="17" t="inlineStr">
        <is>
          <t xml:space="preserve">Week 1 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0" t="inlineStr">
        <is>
          <t xml:space="preserve">Week 1 </t>
        </is>
      </c>
      <c r="N11" s="33" t="n"/>
      <c r="O11" s="33" t="n"/>
      <c r="P11" s="33" t="n"/>
      <c r="Q11" s="33" t="n"/>
      <c r="R11" s="33" t="n"/>
      <c r="S11" s="33" t="n"/>
      <c r="T11" s="33" t="n"/>
    </row>
    <row r="12" ht="18.75" customHeight="1">
      <c r="A12" s="11" t="inlineStr">
        <is>
          <t>Week 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2" t="inlineStr">
        <is>
          <t>Week 2</t>
        </is>
      </c>
      <c r="N12" s="33" t="n"/>
      <c r="O12" s="33" t="n"/>
      <c r="P12" s="33" t="n"/>
      <c r="Q12" s="33" t="n"/>
      <c r="R12" s="33" t="n"/>
      <c r="S12" s="33" t="n"/>
      <c r="T12" s="33" t="n"/>
    </row>
    <row r="13" ht="18.75" customHeight="1">
      <c r="A13" s="11" t="inlineStr">
        <is>
          <t>Week 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42" t="inlineStr">
        <is>
          <t>Week 3</t>
        </is>
      </c>
      <c r="N13" s="33" t="n"/>
      <c r="O13" s="33" t="n"/>
      <c r="P13" s="33" t="n"/>
      <c r="Q13" s="33" t="n"/>
      <c r="R13" s="33" t="n"/>
      <c r="S13" s="33" t="n"/>
      <c r="T13" s="33" t="n"/>
    </row>
    <row r="14" ht="18.75" customHeight="1">
      <c r="A14" s="11" t="inlineStr">
        <is>
          <t>Week 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2" t="inlineStr">
        <is>
          <t>Week 4</t>
        </is>
      </c>
      <c r="N14" s="33" t="n"/>
      <c r="O14" s="33" t="n"/>
      <c r="P14" s="33" t="n"/>
      <c r="Q14" s="33" t="n"/>
      <c r="R14" s="33" t="n"/>
      <c r="S14" s="33" t="n"/>
      <c r="T14" s="33" t="n"/>
    </row>
    <row r="15" ht="18.75" customHeight="1">
      <c r="A15" s="11" t="inlineStr">
        <is>
          <t>Week 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42" t="inlineStr">
        <is>
          <t>Week 5</t>
        </is>
      </c>
      <c r="N15" s="33" t="n"/>
      <c r="O15" s="33" t="n"/>
      <c r="P15" s="33" t="n"/>
      <c r="Q15" s="33" t="n"/>
      <c r="R15" s="33" t="n"/>
      <c r="S15" s="33" t="n"/>
      <c r="T15" s="33" t="n"/>
    </row>
    <row r="16" ht="24" customHeight="1" thickBot="1">
      <c r="A16" s="12" t="inlineStr">
        <is>
          <t>Total</t>
        </is>
      </c>
      <c r="B16" s="5">
        <f>SUM(B11:B15)</f>
        <v/>
      </c>
      <c r="C16" s="5">
        <f>SUM(C11:C15)</f>
        <v/>
      </c>
      <c r="D16" s="5">
        <f>SUM(D11:D15)</f>
        <v/>
      </c>
      <c r="E16" s="5">
        <f>SUM(E11:E15)</f>
        <v/>
      </c>
      <c r="F16" s="5">
        <f>SUM(F11:F15)</f>
        <v/>
      </c>
      <c r="G16" s="5">
        <f>SUM(G11:G15)</f>
        <v/>
      </c>
      <c r="H16" s="5">
        <f>SUM(H11:H15)</f>
        <v/>
      </c>
      <c r="I16" s="5">
        <f>SUM(I11:I15)</f>
        <v/>
      </c>
      <c r="J16" s="5">
        <f>SUM(J11:J15)</f>
        <v/>
      </c>
      <c r="K16" s="5">
        <f>SUM(K11:K15)</f>
        <v/>
      </c>
      <c r="L16" s="5">
        <f>SUM(L11:L15)</f>
        <v/>
      </c>
      <c r="M16" s="45" t="inlineStr">
        <is>
          <t xml:space="preserve">TOTAL </t>
        </is>
      </c>
      <c r="N16" s="33">
        <f>SUM(N11:N15)</f>
        <v/>
      </c>
      <c r="O16" s="33">
        <f>SUM(O11:O15)</f>
        <v/>
      </c>
      <c r="P16" s="33">
        <f>SUM(P11:P15)</f>
        <v/>
      </c>
      <c r="Q16" s="33">
        <f>SUM(Q11:Q15)</f>
        <v/>
      </c>
      <c r="R16" s="33">
        <f>SUM(S11:S15)</f>
        <v/>
      </c>
      <c r="S16" s="33">
        <f>SUM(S11:S15)</f>
        <v/>
      </c>
      <c r="T16" s="33">
        <f>SUM(T11:T15)</f>
        <v/>
      </c>
    </row>
    <row r="17" ht="22.5" customHeight="1" thickBot="1" thickTop="1">
      <c r="A17" s="10" t="inlineStr">
        <is>
          <t>Ryan Golmon</t>
        </is>
      </c>
      <c r="B17" s="52" t="inlineStr">
        <is>
          <t xml:space="preserve">  </t>
        </is>
      </c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9" t="n"/>
      <c r="M17" s="30" t="inlineStr">
        <is>
          <t>Ryan Golmon</t>
        </is>
      </c>
      <c r="N17" s="41" t="n"/>
      <c r="O17" s="41" t="n"/>
      <c r="P17" s="41" t="n"/>
      <c r="Q17" s="41" t="n"/>
      <c r="R17" s="41" t="n"/>
      <c r="S17" s="41" t="n"/>
      <c r="T17" s="41" t="n"/>
    </row>
    <row r="18" ht="19.5" customHeight="1" thickTop="1">
      <c r="A18" s="17" t="inlineStr">
        <is>
          <t>Week 1</t>
        </is>
      </c>
      <c r="B18" s="2" t="n"/>
      <c r="C18" s="2" t="n"/>
      <c r="D18" s="2" t="n"/>
      <c r="E18" s="2" t="n"/>
      <c r="F18" s="2" t="n"/>
      <c r="G18" s="2" t="inlineStr">
        <is>
          <t xml:space="preserve"> </t>
        </is>
      </c>
      <c r="H18" s="2" t="inlineStr">
        <is>
          <t xml:space="preserve"> </t>
        </is>
      </c>
      <c r="I18" s="2" t="n"/>
      <c r="J18" s="2" t="n"/>
      <c r="K18" s="2" t="n"/>
      <c r="L18" s="2" t="n"/>
      <c r="M18" s="20" t="inlineStr">
        <is>
          <t xml:space="preserve">Week 1 </t>
        </is>
      </c>
      <c r="N18" s="33" t="n"/>
      <c r="O18" s="33" t="n"/>
      <c r="P18" s="33" t="n"/>
      <c r="Q18" s="33" t="n"/>
      <c r="R18" s="33" t="n"/>
      <c r="S18" s="33" t="n"/>
      <c r="T18" s="33" t="n"/>
    </row>
    <row r="19" ht="18.75" customHeight="1">
      <c r="A19" s="13" t="inlineStr">
        <is>
          <t>Week 2</t>
        </is>
      </c>
      <c r="B19" s="2" t="n"/>
      <c r="C19" s="2" t="n"/>
      <c r="D19" s="2" t="n"/>
      <c r="E19" s="2" t="n"/>
      <c r="F19" s="2" t="n"/>
      <c r="G19" s="2" t="n"/>
      <c r="H19" s="2" t="inlineStr">
        <is>
          <t xml:space="preserve"> </t>
        </is>
      </c>
      <c r="I19" s="2" t="n"/>
      <c r="J19" s="2" t="n"/>
      <c r="K19" s="2" t="n"/>
      <c r="L19" s="2" t="n"/>
      <c r="M19" s="42" t="inlineStr">
        <is>
          <t>Week 2</t>
        </is>
      </c>
      <c r="N19" s="33" t="n"/>
      <c r="O19" s="33" t="n"/>
      <c r="P19" s="33" t="n"/>
      <c r="Q19" s="33" t="n"/>
      <c r="R19" s="33" t="n"/>
      <c r="S19" s="33" t="n"/>
      <c r="T19" s="33" t="n"/>
    </row>
    <row r="20" ht="18.75" customHeight="1">
      <c r="A20" s="13" t="inlineStr">
        <is>
          <t xml:space="preserve">Week 3 </t>
        </is>
      </c>
      <c r="B20" s="2" t="n"/>
      <c r="C20" s="2" t="n"/>
      <c r="D20" s="2" t="n"/>
      <c r="E20" s="2" t="n"/>
      <c r="F20" s="2" t="n"/>
      <c r="G20" s="2" t="n"/>
      <c r="H20" s="2" t="inlineStr">
        <is>
          <t xml:space="preserve"> </t>
        </is>
      </c>
      <c r="I20" s="2" t="n"/>
      <c r="J20" s="2" t="n"/>
      <c r="K20" s="2" t="n"/>
      <c r="L20" s="2" t="n"/>
      <c r="M20" s="42" t="inlineStr">
        <is>
          <t>Week 3</t>
        </is>
      </c>
      <c r="N20" s="33" t="n"/>
      <c r="O20" s="33" t="n"/>
      <c r="P20" s="33" t="n"/>
      <c r="Q20" s="33" t="n"/>
      <c r="R20" s="33" t="n"/>
      <c r="S20" s="33" t="n"/>
      <c r="T20" s="33" t="n"/>
    </row>
    <row r="21" ht="18.75" customHeight="1">
      <c r="A21" s="13" t="inlineStr">
        <is>
          <t>Week 4</t>
        </is>
      </c>
      <c r="B21" s="2" t="n"/>
      <c r="C21" s="2" t="n"/>
      <c r="D21" s="2" t="n"/>
      <c r="E21" s="2" t="n"/>
      <c r="F21" s="2" t="n"/>
      <c r="G21" s="2" t="n"/>
      <c r="H21" s="2" t="inlineStr">
        <is>
          <t xml:space="preserve"> </t>
        </is>
      </c>
      <c r="I21" s="2" t="n"/>
      <c r="J21" s="2" t="n"/>
      <c r="K21" s="2" t="n"/>
      <c r="L21" s="2" t="n"/>
      <c r="M21" s="42" t="inlineStr">
        <is>
          <t>Week 4</t>
        </is>
      </c>
      <c r="N21" s="33" t="n"/>
      <c r="O21" s="33" t="n"/>
      <c r="P21" s="33" t="n"/>
      <c r="Q21" s="33" t="n"/>
      <c r="R21" s="33" t="n"/>
      <c r="S21" s="33" t="n"/>
      <c r="T21" s="33" t="n"/>
    </row>
    <row r="22" ht="18.75" customHeight="1">
      <c r="A22" s="11" t="inlineStr">
        <is>
          <t>Week 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inlineStr">
        <is>
          <t>Week 5</t>
        </is>
      </c>
      <c r="N22" s="33" t="n"/>
      <c r="O22" s="33" t="n"/>
      <c r="P22" s="33" t="n"/>
      <c r="Q22" s="33" t="n"/>
      <c r="R22" s="33" t="n"/>
      <c r="S22" s="33" t="n"/>
      <c r="T22" s="33" t="n"/>
    </row>
    <row r="23" ht="24" customHeight="1" thickBot="1">
      <c r="A23" s="12" t="inlineStr">
        <is>
          <t>Total</t>
        </is>
      </c>
      <c r="B23" s="5">
        <f>SUM(B18:B22)</f>
        <v/>
      </c>
      <c r="C23" s="5">
        <f>SUM(C18:C22)</f>
        <v/>
      </c>
      <c r="D23" s="5">
        <f>SUM(D18:D22)</f>
        <v/>
      </c>
      <c r="E23" s="5">
        <f>SUM(E18:E22)</f>
        <v/>
      </c>
      <c r="F23" s="5">
        <f>SUM(F18:F22)</f>
        <v/>
      </c>
      <c r="G23" s="5">
        <f>SUM(G18:G22)</f>
        <v/>
      </c>
      <c r="H23" s="5">
        <f>SUM(H18:H22)</f>
        <v/>
      </c>
      <c r="I23" s="5">
        <f>SUM(I18:I22)</f>
        <v/>
      </c>
      <c r="J23" s="5">
        <f>SUM(J18:J22)</f>
        <v/>
      </c>
      <c r="K23" s="5">
        <f>SUM(K18:K22)</f>
        <v/>
      </c>
      <c r="L23" s="5">
        <f>SUM(L18:L22)</f>
        <v/>
      </c>
      <c r="M23" s="45" t="inlineStr">
        <is>
          <t xml:space="preserve">TOTAL </t>
        </is>
      </c>
      <c r="N23" s="33">
        <f>SUM(N18:N22)</f>
        <v/>
      </c>
      <c r="O23" s="33">
        <f>SUM(O18:O22)</f>
        <v/>
      </c>
      <c r="P23" s="33">
        <f>SUM(P18:P22)</f>
        <v/>
      </c>
      <c r="Q23" s="33">
        <f>SUM(Q18:Q22)</f>
        <v/>
      </c>
      <c r="R23" s="33">
        <f>SUM(R18:R22)</f>
        <v/>
      </c>
      <c r="S23" s="33">
        <f>SUM(S18:S22)</f>
        <v/>
      </c>
      <c r="T23" s="33">
        <f>SUM(T18:T22)</f>
        <v/>
      </c>
    </row>
    <row r="24" ht="22.5" customHeight="1" thickBot="1" thickTop="1">
      <c r="A24" s="14" t="inlineStr">
        <is>
          <t>Matthew Flowers</t>
        </is>
      </c>
      <c r="B24" s="51" t="inlineStr">
        <is>
          <t xml:space="preserve"> </t>
        </is>
      </c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9" t="n"/>
      <c r="M24" s="45" t="inlineStr">
        <is>
          <t>Matthew Flowers</t>
        </is>
      </c>
      <c r="N24" s="41" t="n"/>
      <c r="O24" s="41" t="n"/>
      <c r="P24" s="41" t="n"/>
      <c r="Q24" s="41" t="n"/>
      <c r="R24" s="41" t="n"/>
      <c r="S24" s="41" t="n"/>
      <c r="T24" s="41" t="n"/>
    </row>
    <row r="25" ht="29.25" customHeight="1" thickTop="1">
      <c r="A25" s="17" t="inlineStr">
        <is>
          <t>Week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42" t="inlineStr">
        <is>
          <t xml:space="preserve">Week 1 </t>
        </is>
      </c>
      <c r="N25" s="43" t="n"/>
      <c r="O25" s="43" t="n"/>
      <c r="P25" s="43" t="n"/>
      <c r="Q25" s="43" t="n"/>
      <c r="R25" s="43" t="n"/>
      <c r="S25" s="43" t="n"/>
      <c r="T25" s="43" t="n"/>
    </row>
    <row r="26" ht="18.75" customHeight="1">
      <c r="A26" s="13" t="inlineStr">
        <is>
          <t>Week 2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inlineStr">
        <is>
          <t>Week 2</t>
        </is>
      </c>
      <c r="N26" s="33" t="n"/>
      <c r="O26" s="33" t="n"/>
      <c r="P26" s="33" t="n"/>
      <c r="Q26" s="33" t="n"/>
      <c r="R26" s="33" t="n"/>
      <c r="S26" s="33" t="n"/>
      <c r="T26" s="33" t="n"/>
    </row>
    <row r="27" ht="18.75" customHeight="1">
      <c r="A27" s="13" t="inlineStr">
        <is>
          <t>Week 3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inlineStr">
        <is>
          <t>Week 3</t>
        </is>
      </c>
      <c r="N27" s="33" t="n"/>
      <c r="O27" s="33" t="n"/>
      <c r="P27" s="33" t="n"/>
      <c r="Q27" s="33" t="n"/>
      <c r="R27" s="33" t="n"/>
      <c r="S27" s="33" t="n"/>
      <c r="T27" s="33" t="n"/>
    </row>
    <row r="28" ht="18.75" customHeight="1">
      <c r="A28" s="13" t="inlineStr">
        <is>
          <t>Week 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42" t="inlineStr">
        <is>
          <t>Week 4</t>
        </is>
      </c>
      <c r="N28" s="33" t="n"/>
      <c r="O28" s="33" t="n"/>
      <c r="P28" s="33" t="n"/>
      <c r="Q28" s="33" t="n"/>
      <c r="R28" s="33" t="n"/>
      <c r="S28" s="33" t="n"/>
      <c r="T28" s="33" t="n"/>
    </row>
    <row r="29" ht="18.75" customHeight="1">
      <c r="A29" s="11" t="inlineStr">
        <is>
          <t>Week 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42" t="inlineStr">
        <is>
          <t>Week 5</t>
        </is>
      </c>
      <c r="N29" s="33" t="n"/>
      <c r="O29" s="33" t="n"/>
      <c r="P29" s="33" t="n"/>
      <c r="Q29" s="33" t="n"/>
      <c r="R29" s="33" t="n"/>
      <c r="S29" s="33" t="n"/>
      <c r="T29" s="33" t="n"/>
    </row>
    <row r="30" ht="24" customHeight="1" thickBot="1">
      <c r="A30" s="12" t="inlineStr">
        <is>
          <t>Total</t>
        </is>
      </c>
      <c r="B30" s="6">
        <f>SUM(B25:B29)</f>
        <v/>
      </c>
      <c r="C30" s="6">
        <f>SUM(C25:C29)</f>
        <v/>
      </c>
      <c r="D30" s="6">
        <f>SUM(D25:D29)</f>
        <v/>
      </c>
      <c r="E30" s="6">
        <f>SUM(E25:E29)</f>
        <v/>
      </c>
      <c r="F30" s="6">
        <f>SUM(F25:F29)</f>
        <v/>
      </c>
      <c r="G30" s="6">
        <f>SUM(G25:G29)</f>
        <v/>
      </c>
      <c r="H30" s="6">
        <f>SUM(H25:H29)</f>
        <v/>
      </c>
      <c r="I30" s="6">
        <f>SUM(I25:I29)</f>
        <v/>
      </c>
      <c r="J30" s="6">
        <f>SUM(J25:J29)</f>
        <v/>
      </c>
      <c r="K30" s="6">
        <f>SUM(K25:K29)</f>
        <v/>
      </c>
      <c r="L30" s="6">
        <f>SUM(L25:L29)</f>
        <v/>
      </c>
      <c r="M30" s="44" t="inlineStr">
        <is>
          <t xml:space="preserve">TOTAL </t>
        </is>
      </c>
      <c r="N30" s="33">
        <f>SUM(N25:N29)</f>
        <v/>
      </c>
      <c r="O30" s="33">
        <f>SUM(O25:O29)</f>
        <v/>
      </c>
      <c r="P30" s="33">
        <f>SUM(P25:P29)</f>
        <v/>
      </c>
      <c r="Q30" s="33">
        <f>SUM(Q25:Q29)</f>
        <v/>
      </c>
      <c r="R30" s="33">
        <f>SUM(R25:R29)</f>
        <v/>
      </c>
      <c r="S30" s="33">
        <f>SUM(S25:S29)</f>
        <v/>
      </c>
      <c r="T30" s="33">
        <f>SUM(T25:T29)</f>
        <v/>
      </c>
    </row>
    <row r="31" ht="24.75" customHeight="1" thickBot="1" thickTop="1">
      <c r="A31" s="15" t="inlineStr"/>
      <c r="B31" s="52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30" t="inlineStr"/>
      <c r="N31" s="41" t="n"/>
      <c r="O31" s="41" t="n"/>
      <c r="P31" s="41" t="n"/>
      <c r="Q31" s="41" t="n"/>
      <c r="R31" s="41" t="n"/>
      <c r="S31" s="41" t="n"/>
      <c r="T31" s="41" t="n"/>
    </row>
    <row r="32" ht="19.5" customHeight="1" thickTop="1">
      <c r="A32" s="17" t="inlineStr">
        <is>
          <t>Week 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42" t="inlineStr">
        <is>
          <t xml:space="preserve">Week 1 </t>
        </is>
      </c>
      <c r="N32" s="33" t="n"/>
      <c r="O32" s="33" t="n"/>
      <c r="P32" s="33" t="n"/>
      <c r="Q32" s="33" t="n"/>
      <c r="R32" s="33" t="n"/>
      <c r="S32" s="33" t="n"/>
      <c r="T32" s="33" t="n"/>
    </row>
    <row r="33" ht="18.75" customHeight="1">
      <c r="A33" s="13" t="inlineStr">
        <is>
          <t>Week 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42" t="inlineStr">
        <is>
          <t>Week 2</t>
        </is>
      </c>
      <c r="N33" s="33" t="n"/>
      <c r="O33" s="33" t="n"/>
      <c r="P33" s="33" t="n"/>
      <c r="Q33" s="33" t="n"/>
      <c r="R33" s="33" t="n"/>
      <c r="S33" s="33" t="n"/>
      <c r="T33" s="33" t="n"/>
    </row>
    <row r="34" ht="18.75" customHeight="1">
      <c r="A34" s="13" t="inlineStr">
        <is>
          <t>Week 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42" t="inlineStr">
        <is>
          <t>Week 3</t>
        </is>
      </c>
      <c r="N34" s="33" t="n"/>
      <c r="O34" s="33" t="n"/>
      <c r="P34" s="33" t="n"/>
      <c r="Q34" s="33" t="n"/>
      <c r="R34" s="33" t="n"/>
      <c r="S34" s="33" t="n"/>
      <c r="T34" s="33" t="n"/>
    </row>
    <row r="35" ht="18.75" customHeight="1">
      <c r="A35" s="13" t="inlineStr">
        <is>
          <t>Week 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42" t="inlineStr">
        <is>
          <t>Week 4</t>
        </is>
      </c>
      <c r="N35" s="33" t="n"/>
      <c r="O35" s="33" t="n"/>
      <c r="P35" s="33" t="n"/>
      <c r="Q35" s="33" t="n"/>
      <c r="R35" s="33" t="n"/>
      <c r="S35" s="33" t="n"/>
      <c r="T35" s="33" t="n"/>
    </row>
    <row r="36" ht="18.75" customHeight="1">
      <c r="A36" s="13" t="inlineStr">
        <is>
          <t>Week 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42" t="inlineStr">
        <is>
          <t>Week 5</t>
        </is>
      </c>
      <c r="N36" s="33" t="n"/>
      <c r="O36" s="33" t="n"/>
      <c r="P36" s="33" t="n"/>
      <c r="Q36" s="33" t="n"/>
      <c r="R36" s="33" t="n"/>
      <c r="S36" s="33" t="n"/>
      <c r="T36" s="33" t="n"/>
    </row>
    <row r="37" ht="21" customHeight="1">
      <c r="A37" s="16" t="inlineStr">
        <is>
          <t xml:space="preserve">Total </t>
        </is>
      </c>
      <c r="B37" s="5">
        <f>SUM(B32:B36)</f>
        <v/>
      </c>
      <c r="C37" s="5">
        <f>SUM(C32:C36)</f>
        <v/>
      </c>
      <c r="D37" s="5">
        <f>SUM(D32:D36)</f>
        <v/>
      </c>
      <c r="E37" s="5">
        <f>SUM(E32:E36)</f>
        <v/>
      </c>
      <c r="F37" s="5">
        <f>SUM(F32:F36)</f>
        <v/>
      </c>
      <c r="G37" s="5">
        <f>SUM(G32:G36)</f>
        <v/>
      </c>
      <c r="H37" s="5">
        <f>SUM(H32:H36)</f>
        <v/>
      </c>
      <c r="I37" s="5">
        <f>SUM(I32:I36)</f>
        <v/>
      </c>
      <c r="J37" s="5">
        <f>SUM(J32:J36)</f>
        <v/>
      </c>
      <c r="K37" s="5">
        <f>SUM(K32:K36)</f>
        <v/>
      </c>
      <c r="L37" s="5">
        <f>SUM(L32:L36)</f>
        <v/>
      </c>
      <c r="M37" s="44" t="inlineStr">
        <is>
          <t xml:space="preserve">TOTAL </t>
        </is>
      </c>
      <c r="N37" s="33">
        <f>SUM(N32:N36)</f>
        <v/>
      </c>
      <c r="O37" s="33">
        <f>SUM(O32:O36)</f>
        <v/>
      </c>
      <c r="P37" s="33">
        <f>SUM(P32:P36)</f>
        <v/>
      </c>
      <c r="Q37" s="33">
        <f>SUM(Q32:Q36)</f>
        <v/>
      </c>
      <c r="R37" s="33">
        <f>SUM(R32:R36)</f>
        <v/>
      </c>
      <c r="S37" s="33">
        <f>SUM(S32:S36)</f>
        <v/>
      </c>
      <c r="T37" s="33">
        <f>SUM(T32:T36)</f>
        <v/>
      </c>
    </row>
    <row r="38" ht="26.25" customHeight="1">
      <c r="A38" s="12" t="inlineStr">
        <is>
          <t>Unit Total</t>
        </is>
      </c>
      <c r="B38" s="7">
        <f>SUM(B9,B16,B23,B30,B37)</f>
        <v/>
      </c>
      <c r="C38" s="7">
        <f>SUM(C9,C16,C23,C30,C37)</f>
        <v/>
      </c>
      <c r="D38" s="7">
        <f>SUM(D9,D16,D23,D30,D37)</f>
        <v/>
      </c>
      <c r="E38" s="7">
        <f>SUM(E9,E16,E23,E30,E37)</f>
        <v/>
      </c>
      <c r="F38" s="7">
        <f>SUM(F9,F16,F23,F30,F37)</f>
        <v/>
      </c>
      <c r="G38" s="7">
        <f>SUM(G9,G16,G23,G30,G37)</f>
        <v/>
      </c>
      <c r="H38" s="7">
        <f>SUM(H9,H16,H23,H30,H37)</f>
        <v/>
      </c>
      <c r="I38" s="7">
        <f>SUM(I9,I16,I23,I30,I37)</f>
        <v/>
      </c>
      <c r="J38" s="7">
        <f>SUM(J9,J16,J23,J30,J37)</f>
        <v/>
      </c>
      <c r="K38" s="7">
        <f>SUM(K9,K16,K23,K30,K37)</f>
        <v/>
      </c>
      <c r="L38" s="7">
        <f>SUM(L9,L16,L23,L30,L37)</f>
        <v/>
      </c>
      <c r="M38" s="46" t="inlineStr">
        <is>
          <t xml:space="preserve">UC TOTAL </t>
        </is>
      </c>
      <c r="N38" s="33">
        <f>SUM(N9,N16,N23,N30,N37)</f>
        <v/>
      </c>
      <c r="O38" s="33">
        <f>SUM(O9,O16,O23,O30,O37)</f>
        <v/>
      </c>
      <c r="P38" s="33">
        <f>SUM(P9,P37,P30,P23,P16)</f>
        <v/>
      </c>
      <c r="Q38" s="33">
        <f>SUM(Q9,Q37,Q30,Q23,Q16)</f>
        <v/>
      </c>
      <c r="R38" s="33">
        <f>SUM(R9,R37,R30,R23,R16)</f>
        <v/>
      </c>
      <c r="S38" s="33">
        <f>SUM(S9,S37,S30,S23,S16)</f>
        <v/>
      </c>
      <c r="T38" s="33">
        <f>SUM(T9,T37,T30,T23,T16)</f>
        <v/>
      </c>
    </row>
  </sheetData>
  <mergeCells count="7">
    <mergeCell ref="N1:T1"/>
    <mergeCell ref="A1:L1"/>
    <mergeCell ref="B24:L24"/>
    <mergeCell ref="B3:L3"/>
    <mergeCell ref="B10:L10"/>
    <mergeCell ref="B31:L31"/>
    <mergeCell ref="B17:L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zoomScaleNormal="100" workbookViewId="0">
      <selection activeCell="N23" sqref="N23"/>
    </sheetView>
  </sheetViews>
  <sheetFormatPr baseColWidth="8" defaultRowHeight="15"/>
  <cols>
    <col width="11.28515625" customWidth="1" min="1" max="1"/>
    <col width="6.42578125" customWidth="1" min="2" max="2"/>
    <col width="5.140625" customWidth="1" min="3" max="3"/>
    <col width="6.5703125" customWidth="1" min="4" max="4"/>
    <col width="5.42578125" customWidth="1" min="5" max="5"/>
    <col width="5.85546875" customWidth="1" min="6" max="7"/>
    <col width="4.5703125" customWidth="1" min="8" max="8"/>
    <col width="5.42578125" customWidth="1" min="9" max="9"/>
    <col width="5.28515625" customWidth="1" min="10" max="10"/>
    <col width="5.42578125" customWidth="1" min="11" max="12"/>
    <col width="4.85546875" customWidth="1" min="13" max="13"/>
    <col width="10.140625" customWidth="1" min="14" max="14"/>
  </cols>
  <sheetData>
    <row r="1" ht="30" customHeight="1" thickBot="1" thickTop="1">
      <c r="A1" s="55" t="inlineStr">
        <is>
          <t xml:space="preserve">End of Year Total for UC Detectives 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1" t="n"/>
    </row>
    <row r="2" ht="15.75" customHeight="1" thickTop="1">
      <c r="A2" s="25" t="inlineStr">
        <is>
          <t xml:space="preserve">Month </t>
        </is>
      </c>
      <c r="B2" s="26" t="inlineStr">
        <is>
          <t xml:space="preserve">Jan </t>
        </is>
      </c>
      <c r="C2" s="26" t="inlineStr">
        <is>
          <t>Feb</t>
        </is>
      </c>
      <c r="D2" s="26" t="inlineStr">
        <is>
          <t>March</t>
        </is>
      </c>
      <c r="E2" s="26" t="inlineStr">
        <is>
          <t>April</t>
        </is>
      </c>
      <c r="F2" s="26" t="inlineStr">
        <is>
          <t>May</t>
        </is>
      </c>
      <c r="G2" s="26" t="inlineStr">
        <is>
          <t>June</t>
        </is>
      </c>
      <c r="H2" s="26" t="inlineStr">
        <is>
          <t>July</t>
        </is>
      </c>
      <c r="I2" s="26" t="inlineStr">
        <is>
          <t>Aug</t>
        </is>
      </c>
      <c r="J2" s="26" t="inlineStr">
        <is>
          <t xml:space="preserve">Sept. </t>
        </is>
      </c>
      <c r="K2" s="26" t="inlineStr">
        <is>
          <t xml:space="preserve">Oct. </t>
        </is>
      </c>
      <c r="L2" s="26" t="inlineStr">
        <is>
          <t xml:space="preserve">Nov.  </t>
        </is>
      </c>
      <c r="M2" s="26" t="inlineStr">
        <is>
          <t xml:space="preserve">Dec. </t>
        </is>
      </c>
      <c r="N2" s="27" t="inlineStr">
        <is>
          <t xml:space="preserve">TOTAL </t>
        </is>
      </c>
    </row>
    <row r="3" ht="39.75" customHeight="1">
      <c r="A3" s="35" t="inlineStr">
        <is>
          <t>Attempted Operations</t>
        </is>
      </c>
      <c r="B3" s="28">
        <f>Jan!$C$38</f>
        <v/>
      </c>
      <c r="C3" s="28">
        <f>Feb!$C$38</f>
        <v/>
      </c>
      <c r="D3" s="28">
        <f>March!$D$38</f>
        <v/>
      </c>
      <c r="E3" s="28">
        <f>April!$D$38</f>
        <v/>
      </c>
      <c r="F3" s="28">
        <f>May!$D$38</f>
        <v/>
      </c>
      <c r="G3" s="28">
        <f>June!$D$38</f>
        <v/>
      </c>
      <c r="H3" s="28">
        <f>July!$D$38</f>
        <v/>
      </c>
      <c r="I3" s="28">
        <f>Aug!$D$38</f>
        <v/>
      </c>
      <c r="J3" s="28">
        <f>Sept!$D$38</f>
        <v/>
      </c>
      <c r="K3" s="28">
        <f>Oct!$D$38</f>
        <v/>
      </c>
      <c r="L3" s="28">
        <f>Nov!$D$38</f>
        <v/>
      </c>
      <c r="M3" s="28">
        <f>Dec!$D$38</f>
        <v/>
      </c>
      <c r="N3" s="28">
        <f>SUM(B3:M3)</f>
        <v/>
      </c>
    </row>
    <row r="4" ht="30.75" customHeight="1">
      <c r="A4" s="35" t="inlineStr">
        <is>
          <t>UC/CI Cases</t>
        </is>
      </c>
      <c r="B4" s="28">
        <f>Jan!$D$38</f>
        <v/>
      </c>
      <c r="C4" s="28">
        <f>Feb!$D$38</f>
        <v/>
      </c>
      <c r="D4" s="28">
        <f>March!$D$38</f>
        <v/>
      </c>
      <c r="E4" s="28">
        <f>April!$D$38</f>
        <v/>
      </c>
      <c r="F4" s="28">
        <f>May!$D$38</f>
        <v/>
      </c>
      <c r="G4" s="28">
        <f>June!$D$38</f>
        <v/>
      </c>
      <c r="H4" s="28">
        <f>July!$D$38</f>
        <v/>
      </c>
      <c r="I4" s="28">
        <f>Aug!$D$38</f>
        <v/>
      </c>
      <c r="J4" s="28">
        <f>Sept!$D$38</f>
        <v/>
      </c>
      <c r="K4" s="28">
        <f>Oct!$D$38</f>
        <v/>
      </c>
      <c r="L4" s="28">
        <f>Nov!$D$38</f>
        <v/>
      </c>
      <c r="M4" s="28">
        <f>Dec!$D$38</f>
        <v/>
      </c>
      <c r="N4" s="28">
        <f>SUM(B4:M4)</f>
        <v/>
      </c>
    </row>
    <row r="5" ht="29.25" customHeight="1">
      <c r="A5" s="35" t="inlineStr">
        <is>
          <t>TNO Cases</t>
        </is>
      </c>
      <c r="B5" s="28">
        <f>Jan!$E$38</f>
        <v/>
      </c>
      <c r="C5" s="28">
        <f>Feb!$E$38</f>
        <v/>
      </c>
      <c r="D5" s="28">
        <f>March!$E$38</f>
        <v/>
      </c>
      <c r="E5" s="28">
        <f>April!$E$38</f>
        <v/>
      </c>
      <c r="F5" s="28">
        <f>May!$E$38</f>
        <v/>
      </c>
      <c r="G5" s="28">
        <f>June!$E$38</f>
        <v/>
      </c>
      <c r="H5" s="28">
        <f>July!$E$38</f>
        <v/>
      </c>
      <c r="I5" s="28">
        <f>Aug!$E$38</f>
        <v/>
      </c>
      <c r="J5" s="28">
        <f>Sept!$E$38</f>
        <v/>
      </c>
      <c r="K5" s="28">
        <f>Oct!$E$38</f>
        <v/>
      </c>
      <c r="L5" s="28">
        <f>Nov!$E$38</f>
        <v/>
      </c>
      <c r="M5" s="28">
        <f>Dec!$E$38</f>
        <v/>
      </c>
      <c r="N5" s="28">
        <f>SUM(B5:M5)</f>
        <v/>
      </c>
    </row>
    <row r="6" ht="30.75" customHeight="1">
      <c r="A6" s="35" t="inlineStr">
        <is>
          <t>SW Cases</t>
        </is>
      </c>
      <c r="B6" s="28">
        <f>Jan!$F$38</f>
        <v/>
      </c>
      <c r="C6" s="28">
        <f>Feb!$F$38</f>
        <v/>
      </c>
      <c r="D6" s="28">
        <f>March!$F$38</f>
        <v/>
      </c>
      <c r="E6" s="28">
        <f>April!$F$38</f>
        <v/>
      </c>
      <c r="F6" s="28">
        <f>May!$F$38</f>
        <v/>
      </c>
      <c r="G6" s="28">
        <f>June!$F$38</f>
        <v/>
      </c>
      <c r="H6" s="28">
        <f>July!$F$38</f>
        <v/>
      </c>
      <c r="I6" s="28">
        <f>Aug!$F$38</f>
        <v/>
      </c>
      <c r="J6" s="28">
        <f>Sept!$F$38</f>
        <v/>
      </c>
      <c r="K6" s="28">
        <f>Oct!$F$38</f>
        <v/>
      </c>
      <c r="L6" s="28">
        <f>Nov!$F$38</f>
        <v/>
      </c>
      <c r="M6" s="28">
        <f>Dec!$F$38</f>
        <v/>
      </c>
      <c r="N6" s="28">
        <f>SUM(B6:M6)</f>
        <v/>
      </c>
    </row>
    <row r="7" ht="43.5" customHeight="1">
      <c r="A7" s="35" t="inlineStr">
        <is>
          <t>Surv. Hours</t>
        </is>
      </c>
      <c r="B7" s="28">
        <f>Jan!$G$38</f>
        <v/>
      </c>
      <c r="C7" s="28">
        <f>Feb!$G$38</f>
        <v/>
      </c>
      <c r="D7" s="28">
        <f>March!$G$38</f>
        <v/>
      </c>
      <c r="E7" s="28">
        <f>April!$G$38</f>
        <v/>
      </c>
      <c r="F7" s="28">
        <f>May!$G$38</f>
        <v/>
      </c>
      <c r="G7" s="28">
        <f>June!$G$38</f>
        <v/>
      </c>
      <c r="H7" s="28">
        <f>July!$G$38</f>
        <v/>
      </c>
      <c r="I7" s="28">
        <f>Aug!$G$38</f>
        <v/>
      </c>
      <c r="J7" s="28">
        <f>Sept!$G$38</f>
        <v/>
      </c>
      <c r="K7" s="28">
        <f>Oct!$G$38</f>
        <v/>
      </c>
      <c r="L7" s="28">
        <f>Nov!$G$38</f>
        <v/>
      </c>
      <c r="M7" s="28">
        <f>Dec!$G$38</f>
        <v/>
      </c>
      <c r="N7" s="28">
        <f>SUM(B7:M7)</f>
        <v/>
      </c>
    </row>
    <row r="8" ht="34.5" customHeight="1">
      <c r="A8" s="35" t="inlineStr">
        <is>
          <t>Patrol/Jail Cases</t>
        </is>
      </c>
      <c r="B8" s="28">
        <f>Jan!$H$38</f>
        <v/>
      </c>
      <c r="C8" s="28">
        <f>Feb!$H$38</f>
        <v/>
      </c>
      <c r="D8" s="28">
        <f>March!$H$38</f>
        <v/>
      </c>
      <c r="E8" s="28">
        <f>April!$H$38</f>
        <v/>
      </c>
      <c r="F8" s="28">
        <f>May!$H$38</f>
        <v/>
      </c>
      <c r="G8" s="28">
        <f>June!$H$38</f>
        <v/>
      </c>
      <c r="H8" s="28">
        <f>July!$H$38</f>
        <v/>
      </c>
      <c r="I8" s="28">
        <f>Aug!$H$38</f>
        <v/>
      </c>
      <c r="J8" s="28">
        <f>Sept!$H$38</f>
        <v/>
      </c>
      <c r="K8" s="28">
        <f>Oct!$H$38</f>
        <v/>
      </c>
      <c r="L8" s="28">
        <f>Nov!$H$38</f>
        <v/>
      </c>
      <c r="M8" s="28">
        <f>Dec!$H$38</f>
        <v/>
      </c>
      <c r="N8" s="28">
        <f>SUM(B8:M8)</f>
        <v/>
      </c>
    </row>
    <row r="9" ht="39" customHeight="1">
      <c r="A9" s="35" t="inlineStr">
        <is>
          <t>PC Arrests</t>
        </is>
      </c>
      <c r="B9" s="28">
        <f>Jan!$I$38</f>
        <v/>
      </c>
      <c r="C9" s="28">
        <f>Feb!$I$38</f>
        <v/>
      </c>
      <c r="D9" s="28">
        <f>March!$I$38</f>
        <v/>
      </c>
      <c r="E9" s="28">
        <f>April!$I$38</f>
        <v/>
      </c>
      <c r="F9" s="28">
        <f>May!$I$38</f>
        <v/>
      </c>
      <c r="G9" s="28">
        <f>June!$I$38</f>
        <v/>
      </c>
      <c r="H9" s="28">
        <f>July!$I$38</f>
        <v/>
      </c>
      <c r="I9" s="28">
        <f>Aug!$I$38</f>
        <v/>
      </c>
      <c r="J9" s="28">
        <f>Sept!$I$38</f>
        <v/>
      </c>
      <c r="K9" s="28">
        <f>Oct!$I$38</f>
        <v/>
      </c>
      <c r="L9" s="28">
        <f>Nov!$I$38</f>
        <v/>
      </c>
      <c r="M9" s="28">
        <f>Dec!$I$38</f>
        <v/>
      </c>
      <c r="N9" s="28">
        <f>SUM(B9:M9)</f>
        <v/>
      </c>
    </row>
    <row r="10" ht="48.75" customHeight="1">
      <c r="A10" s="35" t="inlineStr">
        <is>
          <t>Warrant Arrests</t>
        </is>
      </c>
      <c r="B10" s="28">
        <f>Jan!$J$38</f>
        <v/>
      </c>
      <c r="C10" s="28">
        <f>Feb!$J$38</f>
        <v/>
      </c>
      <c r="D10" s="28">
        <f>March!$J$38</f>
        <v/>
      </c>
      <c r="E10" s="28">
        <f>April!$J$38</f>
        <v/>
      </c>
      <c r="F10" s="28">
        <f>May!$J$38</f>
        <v/>
      </c>
      <c r="G10" s="28">
        <f>June!$J$38</f>
        <v/>
      </c>
      <c r="H10" s="28">
        <f>July!$J$38</f>
        <v/>
      </c>
      <c r="I10" s="28">
        <f>Aug!$J$38</f>
        <v/>
      </c>
      <c r="J10" s="28">
        <f>Sept!$J$38</f>
        <v/>
      </c>
      <c r="K10" s="28">
        <f>Oct!$J$38</f>
        <v/>
      </c>
      <c r="L10" s="28">
        <f>Nov!$J$38</f>
        <v/>
      </c>
      <c r="M10" s="28">
        <f>Dec!$J$38</f>
        <v/>
      </c>
      <c r="N10" s="28">
        <f>SUM(B10:M10)</f>
        <v/>
      </c>
    </row>
    <row r="11" ht="44.25" customHeight="1">
      <c r="A11" s="35" t="inlineStr">
        <is>
          <t>Training Hours</t>
        </is>
      </c>
      <c r="B11" s="28">
        <f>Jan!$K$38</f>
        <v/>
      </c>
      <c r="C11" s="28">
        <f>Feb!$K$38</f>
        <v/>
      </c>
      <c r="D11" s="28">
        <f>March!$K$38</f>
        <v/>
      </c>
      <c r="E11" s="28">
        <f>April!$K$38</f>
        <v/>
      </c>
      <c r="F11" s="28">
        <f>May!$K$38</f>
        <v/>
      </c>
      <c r="G11" s="28">
        <f>June!$K$38</f>
        <v/>
      </c>
      <c r="H11" s="28">
        <f>July!$K$38</f>
        <v/>
      </c>
      <c r="I11" s="28">
        <f>Aug!$K$38</f>
        <v/>
      </c>
      <c r="J11" s="28">
        <f>Sept!$K$38</f>
        <v/>
      </c>
      <c r="K11" s="28">
        <f>Oct!$K$38</f>
        <v/>
      </c>
      <c r="L11" s="28">
        <f>Nov!$K$38</f>
        <v/>
      </c>
      <c r="M11" s="28">
        <f>Dec!$K$38</f>
        <v/>
      </c>
      <c r="N11" s="28">
        <f>SUM(B11:M11)</f>
        <v/>
      </c>
    </row>
    <row r="12" ht="27.75" customHeight="1">
      <c r="A12" s="34" t="inlineStr">
        <is>
          <t>Det./Agency Assist</t>
        </is>
      </c>
      <c r="B12" s="28">
        <f>Jan!$L$38</f>
        <v/>
      </c>
      <c r="C12" s="28">
        <f>Feb!$L$38</f>
        <v/>
      </c>
      <c r="D12" s="28">
        <f>March!$L$38</f>
        <v/>
      </c>
      <c r="E12" s="28">
        <f>April!$L$38</f>
        <v/>
      </c>
      <c r="F12" s="28">
        <f>May!$L$38</f>
        <v/>
      </c>
      <c r="G12" s="28">
        <f>June!$L$38</f>
        <v/>
      </c>
      <c r="H12" s="28">
        <f>July!$L$38</f>
        <v/>
      </c>
      <c r="I12" s="28">
        <f>Aug!$L$38</f>
        <v/>
      </c>
      <c r="J12" s="28">
        <f>Sept!$L$38</f>
        <v/>
      </c>
      <c r="K12" s="28">
        <f>Oct!$L$38</f>
        <v/>
      </c>
      <c r="L12" s="28">
        <f>Nov!$L$38</f>
        <v/>
      </c>
      <c r="M12" s="28">
        <f>Dec!$L$38</f>
        <v/>
      </c>
      <c r="N12" s="28">
        <f>SUM(B12:M12)</f>
        <v/>
      </c>
    </row>
    <row r="14" ht="15.75" customHeight="1" thickBot="1"/>
    <row r="15" ht="29.25" customHeight="1" thickTop="1">
      <c r="A15" s="56" t="inlineStr">
        <is>
          <t xml:space="preserve">Drug Seizures </t>
        </is>
      </c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3" t="n"/>
    </row>
    <row r="16" ht="21" customHeight="1">
      <c r="A16" s="29" t="inlineStr">
        <is>
          <t xml:space="preserve">Month </t>
        </is>
      </c>
      <c r="B16" s="30" t="inlineStr">
        <is>
          <t xml:space="preserve">Jan. </t>
        </is>
      </c>
      <c r="C16" s="30" t="inlineStr">
        <is>
          <t xml:space="preserve">Feb.  </t>
        </is>
      </c>
      <c r="D16" s="30" t="inlineStr">
        <is>
          <t xml:space="preserve">March </t>
        </is>
      </c>
      <c r="E16" s="30" t="inlineStr">
        <is>
          <t xml:space="preserve">April </t>
        </is>
      </c>
      <c r="F16" s="30" t="inlineStr">
        <is>
          <t xml:space="preserve">May </t>
        </is>
      </c>
      <c r="G16" s="30" t="inlineStr">
        <is>
          <t xml:space="preserve">June </t>
        </is>
      </c>
      <c r="H16" s="30" t="inlineStr">
        <is>
          <t xml:space="preserve">July </t>
        </is>
      </c>
      <c r="I16" s="30" t="inlineStr">
        <is>
          <t>Aug.</t>
        </is>
      </c>
      <c r="J16" s="30" t="inlineStr">
        <is>
          <t xml:space="preserve">Sept. </t>
        </is>
      </c>
      <c r="K16" s="30" t="inlineStr">
        <is>
          <t xml:space="preserve">Oct. </t>
        </is>
      </c>
      <c r="L16" s="30" t="inlineStr">
        <is>
          <t xml:space="preserve">Nov. </t>
        </is>
      </c>
      <c r="M16" s="30" t="inlineStr">
        <is>
          <t xml:space="preserve">Dec. </t>
        </is>
      </c>
      <c r="N16" s="31" t="inlineStr">
        <is>
          <t xml:space="preserve">TOTAL </t>
        </is>
      </c>
    </row>
    <row r="17" ht="28.5" customHeight="1">
      <c r="A17" s="37" t="inlineStr">
        <is>
          <t>Meth (g)</t>
        </is>
      </c>
      <c r="B17" s="33">
        <f>Jan!$N$38</f>
        <v/>
      </c>
      <c r="C17" s="33">
        <f>Feb!$N$38</f>
        <v/>
      </c>
      <c r="D17" s="33">
        <f>March!$N$38</f>
        <v/>
      </c>
      <c r="E17" s="33">
        <f>April!$N$38</f>
        <v/>
      </c>
      <c r="F17" s="33">
        <f>May!$N$38</f>
        <v/>
      </c>
      <c r="G17" s="33">
        <f>June!$N$38</f>
        <v/>
      </c>
      <c r="H17" s="33">
        <f>July!$N$38</f>
        <v/>
      </c>
      <c r="I17" s="33">
        <f>Aug!$N$38</f>
        <v/>
      </c>
      <c r="J17" s="33">
        <f>Sept!$N$38</f>
        <v/>
      </c>
      <c r="K17" s="33">
        <f>Oct!$N$38</f>
        <v/>
      </c>
      <c r="L17" s="33">
        <f>Nov!$N$38</f>
        <v/>
      </c>
      <c r="M17" s="33">
        <f>Dec!$N$38</f>
        <v/>
      </c>
      <c r="N17" s="33">
        <f>SUM(B17:M17)</f>
        <v/>
      </c>
    </row>
    <row r="18" ht="27" customHeight="1">
      <c r="A18" s="32" t="inlineStr">
        <is>
          <t>Cocaine (g)</t>
        </is>
      </c>
      <c r="B18" s="33">
        <f>Jan!$O$38</f>
        <v/>
      </c>
      <c r="C18" s="33">
        <f>Feb!$O$38</f>
        <v/>
      </c>
      <c r="D18" s="33">
        <f>March!$O$38</f>
        <v/>
      </c>
      <c r="E18" s="33">
        <f>April!$O$38</f>
        <v/>
      </c>
      <c r="F18" s="33">
        <f>May!$O$38</f>
        <v/>
      </c>
      <c r="G18" s="33">
        <f>June!$O$38</f>
        <v/>
      </c>
      <c r="H18" s="33">
        <f>July!$O$38</f>
        <v/>
      </c>
      <c r="I18" s="33">
        <f>Aug!$O$38</f>
        <v/>
      </c>
      <c r="J18" s="33">
        <f>Sept!$O$38</f>
        <v/>
      </c>
      <c r="K18" s="33">
        <f>Oct!$O$38</f>
        <v/>
      </c>
      <c r="L18" s="33">
        <f>Nov!$O$38</f>
        <v/>
      </c>
      <c r="M18" s="33">
        <f>Dec!$O$38</f>
        <v/>
      </c>
      <c r="N18" s="33">
        <f>SUM(B18:M18)</f>
        <v/>
      </c>
    </row>
    <row r="19" ht="30.75" customHeight="1">
      <c r="A19" s="32" t="inlineStr">
        <is>
          <t>Heroin (g)</t>
        </is>
      </c>
      <c r="B19" s="33">
        <f>Jan!$P$38</f>
        <v/>
      </c>
      <c r="C19" s="33">
        <f>Feb!$P$38</f>
        <v/>
      </c>
      <c r="D19" s="33">
        <f>March!$P$38</f>
        <v/>
      </c>
      <c r="E19" s="33">
        <f>April!$P$38</f>
        <v/>
      </c>
      <c r="F19" s="33">
        <f>May!$P$38</f>
        <v/>
      </c>
      <c r="G19" s="33">
        <f>June!$P$38</f>
        <v/>
      </c>
      <c r="H19" s="33">
        <f>July!$P$38</f>
        <v/>
      </c>
      <c r="I19" s="33">
        <f>Aug!$P$38</f>
        <v/>
      </c>
      <c r="J19" s="33">
        <f>Sept!$P$38</f>
        <v/>
      </c>
      <c r="K19" s="33">
        <f>Oct!$P$38</f>
        <v/>
      </c>
      <c r="L19" s="33">
        <f>Nov!$P$38</f>
        <v/>
      </c>
      <c r="M19" s="33">
        <f>Dec!$P$38</f>
        <v/>
      </c>
      <c r="N19" s="33">
        <f>SUM(B19:M19)</f>
        <v/>
      </c>
    </row>
    <row r="20" ht="45" customHeight="1">
      <c r="A20" s="32" t="inlineStr">
        <is>
          <t>Fentanyl (g)</t>
        </is>
      </c>
      <c r="B20" s="33">
        <f>Jan!$Q$38</f>
        <v/>
      </c>
      <c r="C20" s="33">
        <f>Feb!$Q$38</f>
        <v/>
      </c>
      <c r="D20" s="33">
        <f>March!$Q$38</f>
        <v/>
      </c>
      <c r="E20" s="33">
        <f>April!$Q$38</f>
        <v/>
      </c>
      <c r="F20" s="33">
        <f>May!$Q$38</f>
        <v/>
      </c>
      <c r="G20" s="33">
        <f>June!$Q$38</f>
        <v/>
      </c>
      <c r="H20" s="33">
        <f>July!$Q$38</f>
        <v/>
      </c>
      <c r="I20" s="33">
        <f>Aug!$Q$38</f>
        <v/>
      </c>
      <c r="J20" s="33">
        <f>Sept!$Q$38</f>
        <v/>
      </c>
      <c r="K20" s="33">
        <f>Oct!$Q$38</f>
        <v/>
      </c>
      <c r="L20" s="33">
        <f>Nov!$Q$38</f>
        <v/>
      </c>
      <c r="M20" s="33">
        <f>Dec!$Q$38</f>
        <v/>
      </c>
      <c r="N20" s="33">
        <f>SUM(B20:M20)</f>
        <v/>
      </c>
    </row>
    <row r="21" ht="43.5" customHeight="1">
      <c r="A21" s="32" t="inlineStr">
        <is>
          <t>Marijuana (OZ)</t>
        </is>
      </c>
      <c r="B21" s="33">
        <f>Jan!$R$38</f>
        <v/>
      </c>
      <c r="C21" s="33">
        <f>Feb!$R$38</f>
        <v/>
      </c>
      <c r="D21" s="33">
        <f>March!$R$38</f>
        <v/>
      </c>
      <c r="E21" s="33">
        <f>April!$R$38</f>
        <v/>
      </c>
      <c r="F21" s="33">
        <f>May!$R$38</f>
        <v/>
      </c>
      <c r="G21" s="33">
        <f>June!$R$38</f>
        <v/>
      </c>
      <c r="H21" s="33">
        <f>July!$R$38</f>
        <v/>
      </c>
      <c r="I21" s="33">
        <f>Aug!$R$38</f>
        <v/>
      </c>
      <c r="J21" s="33">
        <f>Sept!$R$38</f>
        <v/>
      </c>
      <c r="K21" s="33">
        <f>Oct!$R$38</f>
        <v/>
      </c>
      <c r="L21" s="33">
        <f>Nov!$R$38</f>
        <v/>
      </c>
      <c r="M21" s="33">
        <f>Dec!$R$38</f>
        <v/>
      </c>
      <c r="N21" s="33">
        <f>SUM(B21:M21)</f>
        <v/>
      </c>
    </row>
    <row r="22" ht="35.25" customHeight="1">
      <c r="A22" s="35" t="inlineStr">
        <is>
          <t>Promethazine/ Codeine (OZ)</t>
        </is>
      </c>
      <c r="B22" s="33">
        <f>Jan!$S$38</f>
        <v/>
      </c>
      <c r="C22" s="33">
        <f>Feb!$S$38</f>
        <v/>
      </c>
      <c r="D22" s="33">
        <f>March!$S$38</f>
        <v/>
      </c>
      <c r="E22" s="33">
        <f>April!$S$38</f>
        <v/>
      </c>
      <c r="F22" s="33">
        <f>May!$S$38</f>
        <v/>
      </c>
      <c r="G22" s="33">
        <f>June!$S$38</f>
        <v/>
      </c>
      <c r="H22" s="33">
        <f>July!$S$38</f>
        <v/>
      </c>
      <c r="I22" s="33">
        <f>Aug!$S$38</f>
        <v/>
      </c>
      <c r="J22" s="33">
        <f>Sept!$S$38</f>
        <v/>
      </c>
      <c r="K22" s="33">
        <f>Oct!$S$38</f>
        <v/>
      </c>
      <c r="L22" s="33">
        <f>Nov!$S$38</f>
        <v/>
      </c>
      <c r="M22" s="33">
        <f>Dec!$S$38</f>
        <v/>
      </c>
      <c r="N22" s="33">
        <f>SUM(B22:M22)</f>
        <v/>
      </c>
    </row>
    <row r="23" ht="35.25" customHeight="1">
      <c r="A23" s="32" t="inlineStr">
        <is>
          <t>RX Pills (#)</t>
        </is>
      </c>
      <c r="B23" s="33">
        <f>Jan!$T$38</f>
        <v/>
      </c>
      <c r="C23" s="33">
        <f>Feb!$T$31</f>
        <v/>
      </c>
      <c r="D23" s="33">
        <f>March!$T$38</f>
        <v/>
      </c>
      <c r="E23" s="33">
        <f>April!$T$38</f>
        <v/>
      </c>
      <c r="F23" s="33">
        <f>May!$T$38</f>
        <v/>
      </c>
      <c r="G23" s="33">
        <f>June!$T$38</f>
        <v/>
      </c>
      <c r="H23" s="33">
        <f>July!$T$38</f>
        <v/>
      </c>
      <c r="I23" s="33">
        <f>Aug!$T$38</f>
        <v/>
      </c>
      <c r="J23" s="33">
        <f>Sept!$T$38</f>
        <v/>
      </c>
      <c r="K23" s="33">
        <f>Oct!$T$38</f>
        <v/>
      </c>
      <c r="L23" s="33">
        <f>Nov!$T$38</f>
        <v/>
      </c>
      <c r="M23" s="33">
        <f>Dec!$T$38</f>
        <v/>
      </c>
      <c r="N23" s="33">
        <f>SUM(B23:M23)</f>
        <v/>
      </c>
    </row>
  </sheetData>
  <mergeCells count="2">
    <mergeCell ref="A1:N1"/>
    <mergeCell ref="A15:N15"/>
  </mergeCells>
  <pageMargins left="0.7" right="0.7" top="0.75" bottom="0.75" header="0.3" footer="0.3"/>
  <pageSetup orientation="portrait" verticalDpi="0"/>
  <rowBreaks count="1" manualBreakCount="1">
    <brk id="1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Patrol</dc:creator>
  <dcterms:created xmlns:dcterms="http://purl.org/dc/terms/" xmlns:xsi="http://www.w3.org/2001/XMLSchema-instance" xsi:type="dcterms:W3CDTF">2017-11-03T00:46:51Z</dcterms:created>
  <dcterms:modified xmlns:dcterms="http://purl.org/dc/terms/" xmlns:xsi="http://www.w3.org/2001/XMLSchema-instance" xsi:type="dcterms:W3CDTF">2026-04-08T17:46:46Z</dcterms:modified>
  <cp:lastModifiedBy>Brian Chowns</cp:lastModifiedBy>
  <cp:lastPrinted>2025-01-03T20:39:53Z</cp:lastPrinted>
</cp:coreProperties>
</file>